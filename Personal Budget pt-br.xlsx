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EA5149EC-49C2-4DDE-949F-4F6A387C8EFA}" xr6:coauthVersionLast="47" xr6:coauthVersionMax="47" xr10:uidLastSave="{00000000-0000-0000-0000-000000000000}"/>
  <bookViews>
    <workbookView xWindow="-114" yWindow="-114" windowWidth="19704" windowHeight="11178" tabRatio="797" activeTab="1" xr2:uid="{00000000-000D-0000-FFFF-FFFF00000000}"/>
  </bookViews>
  <sheets>
    <sheet name="Validação de Dados" sheetId="15" r:id="rId1"/>
    <sheet name="Saldo &amp; Mov." sheetId="12" r:id="rId2"/>
    <sheet name="Receita Líquida" sheetId="8" state="hidden" r:id="rId3"/>
    <sheet name="Despesas Gerais" sheetId="1" state="hidden" r:id="rId4"/>
    <sheet name="Gráfico Anual" sheetId="13" r:id="rId5"/>
  </sheets>
  <definedNames>
    <definedName name="Contas">'Validação de Dados'!$B$5:$B$9</definedName>
    <definedName name="Dash">'Gráfico Anual'!$A$1:$P$26</definedName>
    <definedName name="Despesas">'Validação de Dados'!$E$5:$E$16</definedName>
    <definedName name="Investimentos">'Validação de Dados'!$G$15:$G$16</definedName>
    <definedName name="Meses">'Validação de Dados'!$O$5:$O$16</definedName>
    <definedName name="Pagamento">'Validação de Dados'!$K$15</definedName>
    <definedName name="Perdas">'Validação de Dados'!$G$5:$G$9</definedName>
    <definedName name="Receita_Líquida">'Validação de Dados'!$M$5:$M$16</definedName>
    <definedName name="Receitas">'Validação de Dados'!$I$5:$I$9</definedName>
    <definedName name="Transferir">'Validação de Dados'!$B$5:$B$8</definedName>
    <definedName name="Z_12641207_4FA9_4498_AEA1_9BC1962A4F9A_.wvu.Rows" localSheetId="3" hidden="1">'Despesas Gerais'!$6:$6,'Despesas Gerais'!#REF!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8" l="1"/>
  <c r="C13" i="12"/>
  <c r="C12" i="12" a="1"/>
  <c r="C12" i="12" s="1"/>
  <c r="C11" i="12" a="1"/>
  <c r="C11" i="12" s="1"/>
  <c r="C10" i="12" a="1"/>
  <c r="C10" i="12" s="1"/>
  <c r="C9" i="12" a="1"/>
  <c r="C9" i="12" s="1"/>
  <c r="K15" i="15" l="1"/>
  <c r="C19" i="12" l="1"/>
  <c r="C20" i="12"/>
  <c r="C18" i="12"/>
  <c r="K5" i="15" a="1"/>
  <c r="K5" i="15" s="1"/>
  <c r="C17" i="12"/>
  <c r="A7" i="1" l="1" a="1"/>
  <c r="A7" i="1" s="1"/>
  <c r="B9" i="12" a="1"/>
  <c r="B4" i="8" a="1"/>
  <c r="B4" i="8" s="1"/>
  <c r="B2" i="1" a="1"/>
  <c r="A3" i="13" a="1"/>
  <c r="A3" i="13" s="1"/>
  <c r="M15" i="15" a="1"/>
  <c r="M15" i="15" s="1"/>
  <c r="M10" i="15" a="1"/>
  <c r="M10" i="15" s="1"/>
  <c r="M5" i="15" a="1"/>
  <c r="M5" i="15" s="1"/>
  <c r="E3" i="12" a="1"/>
  <c r="E3" i="12" s="1"/>
  <c r="B2" i="1" l="1"/>
  <c r="B9" i="12"/>
  <c r="A5" i="8" a="1"/>
  <c r="A5" i="8" s="1"/>
  <c r="N3" i="13" a="1"/>
  <c r="N3" i="13" s="1"/>
  <c r="B18" i="1" l="1"/>
  <c r="A20" i="8"/>
  <c r="C248" i="12" l="1"/>
  <c r="M18" i="1"/>
  <c r="C6" i="8" l="1"/>
  <c r="C10" i="8"/>
  <c r="C14" i="8"/>
  <c r="D6" i="8"/>
  <c r="D10" i="8"/>
  <c r="D14" i="8"/>
  <c r="E6" i="8"/>
  <c r="E10" i="8"/>
  <c r="E14" i="8"/>
  <c r="F6" i="8"/>
  <c r="F10" i="8"/>
  <c r="F14" i="8"/>
  <c r="G6" i="8"/>
  <c r="G10" i="8"/>
  <c r="G14" i="8"/>
  <c r="H6" i="8"/>
  <c r="H10" i="8"/>
  <c r="H14" i="8"/>
  <c r="I6" i="8"/>
  <c r="I10" i="8"/>
  <c r="I14" i="8"/>
  <c r="J6" i="8"/>
  <c r="J10" i="8"/>
  <c r="J14" i="8"/>
  <c r="K6" i="8"/>
  <c r="K10" i="8"/>
  <c r="K14" i="8"/>
  <c r="L6" i="8"/>
  <c r="L10" i="8"/>
  <c r="L14" i="8"/>
  <c r="M6" i="8"/>
  <c r="M10" i="8"/>
  <c r="M14" i="8"/>
  <c r="C7" i="1"/>
  <c r="C11" i="1"/>
  <c r="C15" i="1"/>
  <c r="D7" i="1"/>
  <c r="D11" i="1"/>
  <c r="D15" i="1"/>
  <c r="E7" i="1"/>
  <c r="E11" i="1"/>
  <c r="E15" i="1"/>
  <c r="F7" i="1"/>
  <c r="F11" i="1"/>
  <c r="F15" i="1"/>
  <c r="G7" i="1"/>
  <c r="G11" i="1"/>
  <c r="G15" i="1"/>
  <c r="H7" i="1"/>
  <c r="H11" i="1"/>
  <c r="H15" i="1"/>
  <c r="I7" i="1"/>
  <c r="I11" i="1"/>
  <c r="I15" i="1"/>
  <c r="J7" i="1"/>
  <c r="J11" i="1"/>
  <c r="J15" i="1"/>
  <c r="K7" i="1"/>
  <c r="K11" i="1"/>
  <c r="K15" i="1"/>
  <c r="L7" i="1"/>
  <c r="L11" i="1"/>
  <c r="L15" i="1"/>
  <c r="M7" i="1"/>
  <c r="M11" i="1"/>
  <c r="M15" i="1"/>
  <c r="C7" i="8"/>
  <c r="C11" i="8"/>
  <c r="C15" i="8"/>
  <c r="D7" i="8"/>
  <c r="D11" i="8"/>
  <c r="D15" i="8"/>
  <c r="E7" i="8"/>
  <c r="E11" i="8"/>
  <c r="E15" i="8"/>
  <c r="F7" i="8"/>
  <c r="F11" i="8"/>
  <c r="F15" i="8"/>
  <c r="G7" i="8"/>
  <c r="G11" i="8"/>
  <c r="G15" i="8"/>
  <c r="H7" i="8"/>
  <c r="H11" i="8"/>
  <c r="H15" i="8"/>
  <c r="I7" i="8"/>
  <c r="I11" i="8"/>
  <c r="I15" i="8"/>
  <c r="J7" i="8"/>
  <c r="J11" i="8"/>
  <c r="J15" i="8"/>
  <c r="K7" i="8"/>
  <c r="K11" i="8"/>
  <c r="K15" i="8"/>
  <c r="L7" i="8"/>
  <c r="L11" i="8"/>
  <c r="L15" i="8"/>
  <c r="M7" i="8"/>
  <c r="M11" i="8"/>
  <c r="M15" i="8"/>
  <c r="C8" i="1"/>
  <c r="C12" i="1"/>
  <c r="C16" i="1"/>
  <c r="D8" i="1"/>
  <c r="D12" i="1"/>
  <c r="D16" i="1"/>
  <c r="E8" i="1"/>
  <c r="E12" i="1"/>
  <c r="E16" i="1"/>
  <c r="F8" i="1"/>
  <c r="F12" i="1"/>
  <c r="F16" i="1"/>
  <c r="G8" i="1"/>
  <c r="G12" i="1"/>
  <c r="G16" i="1"/>
  <c r="H8" i="1"/>
  <c r="H12" i="1"/>
  <c r="H16" i="1"/>
  <c r="I8" i="1"/>
  <c r="I12" i="1"/>
  <c r="I16" i="1"/>
  <c r="J8" i="1"/>
  <c r="J12" i="1"/>
  <c r="J16" i="1"/>
  <c r="K8" i="1"/>
  <c r="K12" i="1"/>
  <c r="K16" i="1"/>
  <c r="L8" i="1"/>
  <c r="L12" i="1"/>
  <c r="L16" i="1"/>
  <c r="M8" i="1"/>
  <c r="M12" i="1"/>
  <c r="M16" i="1"/>
  <c r="C8" i="8"/>
  <c r="C12" i="8"/>
  <c r="C16" i="8"/>
  <c r="D8" i="8"/>
  <c r="D12" i="8"/>
  <c r="D16" i="8"/>
  <c r="E8" i="8"/>
  <c r="E12" i="8"/>
  <c r="E16" i="8"/>
  <c r="F8" i="8"/>
  <c r="F12" i="8"/>
  <c r="F16" i="8"/>
  <c r="G8" i="8"/>
  <c r="G12" i="8"/>
  <c r="G16" i="8"/>
  <c r="H8" i="8"/>
  <c r="H12" i="8"/>
  <c r="H16" i="8"/>
  <c r="I8" i="8"/>
  <c r="I12" i="8"/>
  <c r="I16" i="8"/>
  <c r="J8" i="8"/>
  <c r="J12" i="8"/>
  <c r="J16" i="8"/>
  <c r="K8" i="8"/>
  <c r="K12" i="8"/>
  <c r="K16" i="8"/>
  <c r="L8" i="8"/>
  <c r="L12" i="8"/>
  <c r="L16" i="8"/>
  <c r="M8" i="8"/>
  <c r="M12" i="8"/>
  <c r="M16" i="8"/>
  <c r="C9" i="1"/>
  <c r="C13" i="1"/>
  <c r="C17" i="1"/>
  <c r="D9" i="1"/>
  <c r="D13" i="1"/>
  <c r="D17" i="1"/>
  <c r="E9" i="1"/>
  <c r="E13" i="1"/>
  <c r="E17" i="1"/>
  <c r="F9" i="1"/>
  <c r="F13" i="1"/>
  <c r="F17" i="1"/>
  <c r="G9" i="1"/>
  <c r="G13" i="1"/>
  <c r="G17" i="1"/>
  <c r="H9" i="1"/>
  <c r="H13" i="1"/>
  <c r="H17" i="1"/>
  <c r="I9" i="1"/>
  <c r="I13" i="1"/>
  <c r="I17" i="1"/>
  <c r="J9" i="1"/>
  <c r="J13" i="1"/>
  <c r="J17" i="1"/>
  <c r="K9" i="1"/>
  <c r="K13" i="1"/>
  <c r="K17" i="1"/>
  <c r="L9" i="1"/>
  <c r="L13" i="1"/>
  <c r="L17" i="1"/>
  <c r="M9" i="1"/>
  <c r="M13" i="1"/>
  <c r="M17" i="1"/>
  <c r="C5" i="8"/>
  <c r="C9" i="8"/>
  <c r="C13" i="8"/>
  <c r="D5" i="8"/>
  <c r="D9" i="8"/>
  <c r="D13" i="8"/>
  <c r="E5" i="8"/>
  <c r="E9" i="8"/>
  <c r="E13" i="8"/>
  <c r="F5" i="8"/>
  <c r="F9" i="8"/>
  <c r="F13" i="8"/>
  <c r="G5" i="8"/>
  <c r="G9" i="8"/>
  <c r="G13" i="8"/>
  <c r="H5" i="8"/>
  <c r="H9" i="8"/>
  <c r="H13" i="8"/>
  <c r="I5" i="8"/>
  <c r="I9" i="8"/>
  <c r="I13" i="8"/>
  <c r="J5" i="8"/>
  <c r="J9" i="8"/>
  <c r="J13" i="8"/>
  <c r="K5" i="8"/>
  <c r="K9" i="8"/>
  <c r="K13" i="8"/>
  <c r="L5" i="8"/>
  <c r="L9" i="8"/>
  <c r="L13" i="8"/>
  <c r="M5" i="8"/>
  <c r="M9" i="8"/>
  <c r="M13" i="8"/>
  <c r="B7" i="1"/>
  <c r="C10" i="1"/>
  <c r="C14" i="1"/>
  <c r="C18" i="1"/>
  <c r="D10" i="1"/>
  <c r="D14" i="1"/>
  <c r="D18" i="1"/>
  <c r="E10" i="1"/>
  <c r="E14" i="1"/>
  <c r="E18" i="1"/>
  <c r="F10" i="1"/>
  <c r="F14" i="1"/>
  <c r="F18" i="1"/>
  <c r="G10" i="1"/>
  <c r="G14" i="1"/>
  <c r="G18" i="1"/>
  <c r="H10" i="1"/>
  <c r="H14" i="1"/>
  <c r="H18" i="1"/>
  <c r="I10" i="1"/>
  <c r="I14" i="1"/>
  <c r="I18" i="1"/>
  <c r="J10" i="1"/>
  <c r="J14" i="1"/>
  <c r="J18" i="1"/>
  <c r="K10" i="1"/>
  <c r="K14" i="1"/>
  <c r="K18" i="1"/>
  <c r="L10" i="1"/>
  <c r="L14" i="1"/>
  <c r="L18" i="1"/>
  <c r="M10" i="1"/>
  <c r="M14" i="1"/>
  <c r="M20" i="8" l="1"/>
  <c r="I20" i="8"/>
  <c r="E20" i="8"/>
  <c r="J20" i="8"/>
  <c r="F20" i="8"/>
  <c r="K20" i="8"/>
  <c r="G20" i="8"/>
  <c r="C20" i="8"/>
  <c r="L20" i="8"/>
  <c r="H20" i="8"/>
  <c r="D20" i="8"/>
  <c r="K18" i="8"/>
  <c r="E18" i="8"/>
  <c r="G18" i="8"/>
  <c r="C18" i="8"/>
  <c r="M18" i="8"/>
  <c r="I18" i="8"/>
  <c r="L18" i="8"/>
  <c r="D18" i="8"/>
  <c r="H18" i="8"/>
  <c r="O3" i="13"/>
  <c r="D13" i="13"/>
  <c r="D9" i="13"/>
  <c r="D5" i="13"/>
  <c r="D14" i="13"/>
  <c r="D10" i="13"/>
  <c r="D6" i="13"/>
  <c r="D11" i="13"/>
  <c r="D7" i="13"/>
  <c r="J18" i="8"/>
  <c r="F18" i="8"/>
  <c r="D12" i="13"/>
  <c r="D8" i="13"/>
  <c r="D4" i="13"/>
  <c r="C249" i="12" l="1"/>
  <c r="C258" i="12" l="1"/>
  <c r="D258" i="12" s="1"/>
  <c r="E258" i="12" s="1"/>
  <c r="F258" i="12" s="1"/>
  <c r="G258" i="12" l="1"/>
  <c r="C267" i="12" l="1"/>
  <c r="C279" i="12" l="1"/>
  <c r="C278" i="12"/>
  <c r="C277" i="12"/>
  <c r="C276" i="12"/>
  <c r="C275" i="12"/>
  <c r="C274" i="12"/>
  <c r="C273" i="12"/>
  <c r="C272" i="12"/>
  <c r="C271" i="12"/>
  <c r="C270" i="12"/>
  <c r="C269" i="12"/>
  <c r="A16" i="12" l="1"/>
  <c r="C282" i="12"/>
  <c r="C268" i="12"/>
  <c r="C280" i="12"/>
  <c r="C281" i="12"/>
  <c r="C294" i="12"/>
  <c r="C295" i="12"/>
  <c r="B11" i="1" l="1"/>
  <c r="O7" i="13" s="1"/>
  <c r="B15" i="1"/>
  <c r="O11" i="13" s="1"/>
  <c r="B8" i="1"/>
  <c r="B12" i="1"/>
  <c r="O8" i="13" s="1"/>
  <c r="B16" i="1"/>
  <c r="O12" i="13" s="1"/>
  <c r="B9" i="1"/>
  <c r="O5" i="13" s="1"/>
  <c r="B13" i="1"/>
  <c r="O9" i="13" s="1"/>
  <c r="B17" i="1"/>
  <c r="B10" i="1"/>
  <c r="O6" i="13" s="1"/>
  <c r="B14" i="1"/>
  <c r="O10" i="13" s="1"/>
  <c r="O14" i="13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O13" i="13" l="1"/>
  <c r="O4" i="13"/>
  <c r="C9" i="13"/>
  <c r="C13" i="13"/>
  <c r="C10" i="13"/>
  <c r="C4" i="13"/>
  <c r="C12" i="13"/>
  <c r="C14" i="13"/>
  <c r="C6" i="13"/>
  <c r="C8" i="13"/>
  <c r="C11" i="13"/>
  <c r="C7" i="13"/>
  <c r="C5" i="13"/>
  <c r="K20" i="1" l="1"/>
  <c r="F12" i="13" s="1"/>
  <c r="G20" i="1"/>
  <c r="F8" i="13" s="1"/>
  <c r="M20" i="1"/>
  <c r="F14" i="13" s="1"/>
  <c r="I20" i="1"/>
  <c r="F10" i="13" s="1"/>
  <c r="E20" i="1"/>
  <c r="C20" i="1"/>
  <c r="D18" i="13"/>
  <c r="L7" i="13"/>
  <c r="L6" i="13"/>
  <c r="C18" i="13"/>
  <c r="L20" i="1"/>
  <c r="F13" i="13" s="1"/>
  <c r="J20" i="1"/>
  <c r="F11" i="13" s="1"/>
  <c r="H20" i="1"/>
  <c r="F9" i="13" s="1"/>
  <c r="F20" i="1"/>
  <c r="F7" i="13" s="1"/>
  <c r="D20" i="1"/>
  <c r="F5" i="13" s="1"/>
  <c r="L8" i="13" l="1"/>
  <c r="F18" i="13"/>
  <c r="D3" i="1"/>
  <c r="C3" i="1"/>
  <c r="E3" i="1"/>
  <c r="F6" i="13"/>
  <c r="F4" i="13"/>
  <c r="J3" i="1" l="1"/>
  <c r="K3" i="1"/>
  <c r="I3" i="1"/>
  <c r="H3" i="1"/>
  <c r="M3" i="1" l="1"/>
  <c r="F3" i="1" l="1"/>
  <c r="G3" i="1"/>
  <c r="L3" i="1"/>
  <c r="B20" i="1" l="1"/>
  <c r="F3" i="13" l="1"/>
  <c r="F16" i="13" s="1"/>
  <c r="F17" i="13" l="1"/>
  <c r="F15" i="13"/>
  <c r="B10" i="8"/>
  <c r="B15" i="8"/>
  <c r="B5" i="8"/>
  <c r="B7" i="8"/>
  <c r="B16" i="8"/>
  <c r="B11" i="8"/>
  <c r="B13" i="8"/>
  <c r="B14" i="8"/>
  <c r="B6" i="8"/>
  <c r="B9" i="8"/>
  <c r="B8" i="8"/>
  <c r="B12" i="8"/>
  <c r="B18" i="8" l="1"/>
  <c r="D3" i="13"/>
  <c r="D16" i="13" s="1"/>
  <c r="C4" i="12"/>
  <c r="L4" i="13"/>
  <c r="C3" i="12"/>
  <c r="F3" i="12" a="1"/>
  <c r="F3" i="12" s="1"/>
  <c r="B20" i="8"/>
  <c r="L3" i="13"/>
  <c r="B3" i="1" l="1"/>
  <c r="B4" i="1" s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D17" i="13"/>
  <c r="D15" i="13"/>
  <c r="L10" i="13" s="1"/>
  <c r="L5" i="13"/>
  <c r="C3" i="13"/>
  <c r="C16" i="13" s="1"/>
  <c r="I3" i="13" l="1"/>
  <c r="C17" i="13"/>
  <c r="C15" i="13"/>
  <c r="H3" i="13" l="1"/>
  <c r="C5" i="12"/>
  <c r="C14" i="12" s="1"/>
  <c r="I4" i="13"/>
  <c r="H4" i="13" s="1"/>
  <c r="I5" i="13"/>
  <c r="H5" i="13" l="1"/>
  <c r="I6" i="13"/>
  <c r="H6" i="13" s="1"/>
  <c r="I7" i="13" l="1"/>
  <c r="H7" i="13" s="1"/>
  <c r="I8" i="13" l="1"/>
  <c r="H8" i="13" s="1"/>
  <c r="I9" i="13" l="1"/>
  <c r="H9" i="13" s="1"/>
  <c r="I10" i="13" l="1"/>
  <c r="H10" i="13" s="1"/>
  <c r="I11" i="13" l="1"/>
  <c r="H11" i="13" s="1"/>
  <c r="I12" i="13" l="1"/>
  <c r="H12" i="13" s="1"/>
  <c r="I13" i="13" l="1"/>
  <c r="H13" i="13" s="1"/>
  <c r="L9" i="13" l="1"/>
  <c r="I15" i="13" s="1"/>
  <c r="C6" i="12" s="1"/>
  <c r="I14" i="13"/>
  <c r="H14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<sst xmlns="http://schemas.openxmlformats.org/spreadsheetml/2006/main" count="113" uniqueCount="84">
  <si>
    <t>Mês</t>
  </si>
  <si>
    <t>Despesas</t>
  </si>
  <si>
    <t>Total</t>
  </si>
  <si>
    <t>Investimentos</t>
  </si>
  <si>
    <t>Saldo</t>
  </si>
  <si>
    <t xml:space="preserve">Total </t>
  </si>
  <si>
    <t>Média</t>
  </si>
  <si>
    <t>Despesas Fixas</t>
  </si>
  <si>
    <t>Total Geral</t>
  </si>
  <si>
    <t>Investimento</t>
  </si>
  <si>
    <t xml:space="preserve">Perdas </t>
  </si>
  <si>
    <t>Roupas</t>
  </si>
  <si>
    <t>Saldo Anual</t>
  </si>
  <si>
    <t>Descrição</t>
  </si>
  <si>
    <t>Receita Bruta</t>
  </si>
  <si>
    <t>Receitas L.</t>
  </si>
  <si>
    <t>Receita Líquida</t>
  </si>
  <si>
    <t>Sld mês</t>
  </si>
  <si>
    <t>Desp. Gerais</t>
  </si>
  <si>
    <t>R. Líquida</t>
  </si>
  <si>
    <t>Farm. e Saúde.</t>
  </si>
  <si>
    <t>Alimentação</t>
  </si>
  <si>
    <t>Desp. Total</t>
  </si>
  <si>
    <t>Desp. Fixas</t>
  </si>
  <si>
    <t>Resultado - Total</t>
  </si>
  <si>
    <t>Valor</t>
  </si>
  <si>
    <t>Salário</t>
  </si>
  <si>
    <t>1º Sem.</t>
  </si>
  <si>
    <t>2º Sem.</t>
  </si>
  <si>
    <t>Banco 1</t>
  </si>
  <si>
    <t>Banco 2</t>
  </si>
  <si>
    <t>Data</t>
  </si>
  <si>
    <t>Categoria</t>
  </si>
  <si>
    <t>G. Gerais</t>
  </si>
  <si>
    <t xml:space="preserve"> </t>
  </si>
  <si>
    <t>Vendas</t>
  </si>
  <si>
    <t>Inss</t>
  </si>
  <si>
    <t>Operação</t>
  </si>
  <si>
    <t xml:space="preserve">Descrição </t>
  </si>
  <si>
    <t>Perdas Outros</t>
  </si>
  <si>
    <t>Sld. Atual</t>
  </si>
  <si>
    <t>Sld. Anual</t>
  </si>
  <si>
    <t>Diferença</t>
  </si>
  <si>
    <t>Receitas Outros</t>
  </si>
  <si>
    <t>Janeiro</t>
  </si>
  <si>
    <t>T. Transporte</t>
  </si>
  <si>
    <t>Rendimentos</t>
  </si>
  <si>
    <t>Aluguel</t>
  </si>
  <si>
    <t>CDI</t>
  </si>
  <si>
    <t>Tesouro Direto</t>
  </si>
  <si>
    <t>G. Residencial</t>
  </si>
  <si>
    <t>Eletrônicos</t>
  </si>
  <si>
    <t>Condomínio</t>
  </si>
  <si>
    <t>Taxa</t>
  </si>
  <si>
    <t>Receitas</t>
  </si>
  <si>
    <t>Jogos/ Livros</t>
  </si>
  <si>
    <t>Rolê/ Entret.</t>
  </si>
  <si>
    <t>Gasolina</t>
  </si>
  <si>
    <t>Curso</t>
  </si>
  <si>
    <t>Desp./ Receitas</t>
  </si>
  <si>
    <t>Meses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</si>
  <si>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</si>
  <si>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</si>
  <si>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</si>
  <si>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</si>
  <si>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</si>
  <si>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</si>
  <si>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</si>
  <si>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</si>
  <si>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</si>
  <si>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</si>
  <si>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</si>
  <si>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Perdas</t>
  </si>
  <si>
    <t>Transferir</t>
  </si>
  <si>
    <t>*Faça alterações nos valores em azul como preferir, porém para adicionar ou remover valores será necessário alterar a planilha onde for preciso.</t>
  </si>
  <si>
    <t>Contas</t>
  </si>
  <si>
    <t>Conta</t>
  </si>
  <si>
    <t>Transp./ Carro</t>
  </si>
  <si>
    <t>Savings</t>
  </si>
  <si>
    <t>C. Crédito</t>
  </si>
  <si>
    <t>Pagamento</t>
  </si>
  <si>
    <t>Imposto</t>
  </si>
  <si>
    <t>Dinheiro</t>
  </si>
  <si>
    <t>Saldo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</si>
</sst>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mmmm"/>
    <numFmt numFmtId="165" formatCode="dd/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omic Sans MS"/>
      <family val="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44" fontId="6" fillId="2" borderId="1" xfId="1" applyFont="1" applyFill="1" applyBorder="1"/>
    <xf numFmtId="0" fontId="5" fillId="2" borderId="0" xfId="0" applyFont="1" applyFill="1"/>
    <xf numFmtId="0" fontId="4" fillId="3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6" xfId="0" applyFont="1" applyFill="1" applyBorder="1" applyAlignment="1">
      <alignment horizontal="center"/>
    </xf>
    <xf numFmtId="44" fontId="5" fillId="2" borderId="0" xfId="1" applyFont="1" applyFill="1" applyBorder="1" applyAlignment="1">
      <alignment horizontal="center"/>
    </xf>
    <xf numFmtId="44" fontId="5" fillId="2" borderId="0" xfId="0" applyNumberFormat="1" applyFont="1" applyFill="1" applyAlignment="1">
      <alignment horizontal="center"/>
    </xf>
    <xf numFmtId="0" fontId="4" fillId="3" borderId="7" xfId="0" applyFont="1" applyFill="1" applyBorder="1" applyAlignment="1">
      <alignment horizontal="center"/>
    </xf>
    <xf numFmtId="44" fontId="5" fillId="2" borderId="0" xfId="0" applyNumberFormat="1" applyFont="1" applyFill="1"/>
    <xf numFmtId="0" fontId="4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4" fontId="5" fillId="2" borderId="10" xfId="0" applyNumberFormat="1" applyFont="1" applyFill="1" applyBorder="1" applyAlignment="1">
      <alignment horizontal="center"/>
    </xf>
    <xf numFmtId="44" fontId="5" fillId="2" borderId="11" xfId="1" applyFont="1" applyFill="1" applyBorder="1" applyAlignment="1">
      <alignment horizontal="center"/>
    </xf>
    <xf numFmtId="44" fontId="5" fillId="2" borderId="10" xfId="1" applyFont="1" applyFill="1" applyBorder="1" applyAlignment="1">
      <alignment horizontal="center"/>
    </xf>
    <xf numFmtId="44" fontId="5" fillId="2" borderId="11" xfId="0" applyNumberFormat="1" applyFont="1" applyFill="1" applyBorder="1" applyAlignment="1">
      <alignment horizontal="center"/>
    </xf>
    <xf numFmtId="44" fontId="5" fillId="2" borderId="2" xfId="0" applyNumberFormat="1" applyFont="1" applyFill="1" applyBorder="1" applyAlignment="1">
      <alignment horizontal="center"/>
    </xf>
    <xf numFmtId="44" fontId="5" fillId="2" borderId="3" xfId="0" applyNumberFormat="1" applyFont="1" applyFill="1" applyBorder="1" applyAlignment="1">
      <alignment horizontal="center"/>
    </xf>
    <xf numFmtId="44" fontId="5" fillId="2" borderId="6" xfId="1" applyFont="1" applyFill="1" applyBorder="1" applyAlignment="1">
      <alignment horizontal="center"/>
    </xf>
    <xf numFmtId="44" fontId="5" fillId="2" borderId="6" xfId="1" applyFont="1" applyFill="1" applyBorder="1" applyAlignment="1"/>
    <xf numFmtId="44" fontId="5" fillId="2" borderId="6" xfId="0" applyNumberFormat="1" applyFont="1" applyFill="1" applyBorder="1"/>
    <xf numFmtId="44" fontId="5" fillId="2" borderId="7" xfId="0" applyNumberFormat="1" applyFont="1" applyFill="1" applyBorder="1"/>
    <xf numFmtId="0" fontId="5" fillId="2" borderId="2" xfId="0" applyFont="1" applyFill="1" applyBorder="1" applyAlignment="1">
      <alignment horizontal="center"/>
    </xf>
    <xf numFmtId="44" fontId="5" fillId="2" borderId="1" xfId="1" applyFont="1" applyFill="1" applyBorder="1" applyAlignment="1">
      <alignment vertical="center"/>
    </xf>
    <xf numFmtId="0" fontId="6" fillId="2" borderId="1" xfId="0" applyFont="1" applyFill="1" applyBorder="1"/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4" fontId="4" fillId="0" borderId="0" xfId="1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1" applyFont="1" applyFill="1" applyAlignment="1">
      <alignment horizontal="center"/>
    </xf>
    <xf numFmtId="0" fontId="6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10" xfId="0" applyFont="1" applyFill="1" applyBorder="1"/>
    <xf numFmtId="0" fontId="5" fillId="2" borderId="2" xfId="0" applyFont="1" applyFill="1" applyBorder="1"/>
    <xf numFmtId="0" fontId="6" fillId="2" borderId="10" xfId="0" applyFont="1" applyFill="1" applyBorder="1"/>
    <xf numFmtId="44" fontId="6" fillId="2" borderId="11" xfId="0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9" xfId="0" applyFon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44" fontId="6" fillId="2" borderId="0" xfId="1" applyFont="1" applyFill="1" applyBorder="1"/>
    <xf numFmtId="0" fontId="6" fillId="2" borderId="0" xfId="0" applyFont="1" applyFill="1"/>
    <xf numFmtId="44" fontId="6" fillId="2" borderId="1" xfId="1" applyFont="1" applyFill="1" applyBorder="1" applyAlignment="1"/>
    <xf numFmtId="44" fontId="6" fillId="2" borderId="0" xfId="1" applyFont="1" applyFill="1" applyBorder="1" applyAlignment="1"/>
    <xf numFmtId="0" fontId="3" fillId="2" borderId="10" xfId="0" applyFont="1" applyFill="1" applyBorder="1"/>
    <xf numFmtId="0" fontId="3" fillId="2" borderId="2" xfId="0" applyFont="1" applyFill="1" applyBorder="1"/>
    <xf numFmtId="44" fontId="6" fillId="2" borderId="3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/>
    </xf>
    <xf numFmtId="165" fontId="6" fillId="5" borderId="0" xfId="0" applyNumberFormat="1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44" fontId="6" fillId="5" borderId="0" xfId="1" applyFont="1" applyFill="1" applyBorder="1" applyAlignment="1">
      <alignment horizontal="center"/>
    </xf>
    <xf numFmtId="0" fontId="6" fillId="5" borderId="0" xfId="0" applyFont="1" applyFill="1" applyAlignment="1">
      <alignment horizontal="left"/>
    </xf>
    <xf numFmtId="44" fontId="6" fillId="5" borderId="0" xfId="1" applyFont="1" applyFill="1" applyAlignment="1">
      <alignment horizontal="center"/>
    </xf>
    <xf numFmtId="44" fontId="6" fillId="5" borderId="0" xfId="1" quotePrefix="1" applyFont="1" applyFill="1" applyAlignment="1">
      <alignment horizontal="center"/>
    </xf>
    <xf numFmtId="44" fontId="6" fillId="5" borderId="0" xfId="0" applyNumberFormat="1" applyFont="1" applyFill="1" applyAlignment="1">
      <alignment horizontal="left"/>
    </xf>
    <xf numFmtId="0" fontId="6" fillId="5" borderId="0" xfId="0" applyFont="1" applyFill="1" applyAlignment="1">
      <alignment horizontal="right"/>
    </xf>
    <xf numFmtId="165" fontId="6" fillId="5" borderId="0" xfId="0" applyNumberFormat="1" applyFont="1" applyFill="1"/>
    <xf numFmtId="0" fontId="6" fillId="5" borderId="0" xfId="1" applyNumberFormat="1" applyFont="1" applyFill="1" applyBorder="1" applyAlignment="1">
      <alignment horizontal="center"/>
    </xf>
    <xf numFmtId="0" fontId="8" fillId="5" borderId="0" xfId="0" applyFont="1" applyFill="1" applyAlignment="1">
      <alignment horizontal="left"/>
    </xf>
    <xf numFmtId="44" fontId="2" fillId="5" borderId="0" xfId="1" applyFont="1" applyFill="1"/>
    <xf numFmtId="44" fontId="2" fillId="5" borderId="0" xfId="1" applyFont="1" applyFill="1" applyAlignment="1">
      <alignment horizontal="center"/>
    </xf>
    <xf numFmtId="0" fontId="2" fillId="5" borderId="0" xfId="0" applyFont="1" applyFill="1"/>
    <xf numFmtId="9" fontId="5" fillId="2" borderId="1" xfId="2" applyFont="1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44" fontId="6" fillId="6" borderId="1" xfId="1" applyFont="1" applyFill="1" applyBorder="1"/>
    <xf numFmtId="44" fontId="6" fillId="6" borderId="1" xfId="0" applyNumberFormat="1" applyFont="1" applyFill="1" applyBorder="1"/>
    <xf numFmtId="44" fontId="4" fillId="8" borderId="1" xfId="1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/>
    </xf>
    <xf numFmtId="44" fontId="4" fillId="8" borderId="1" xfId="1" applyFont="1" applyFill="1" applyBorder="1" applyAlignment="1">
      <alignment horizontal="left" vertical="center"/>
    </xf>
    <xf numFmtId="165" fontId="9" fillId="0" borderId="0" xfId="0" applyNumberFormat="1" applyFont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44" fontId="0" fillId="6" borderId="1" xfId="1" applyFont="1" applyFill="1" applyBorder="1"/>
    <xf numFmtId="44" fontId="5" fillId="2" borderId="1" xfId="0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12"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1"/>
      <tableStyleElement type="headerRow" dxfId="10"/>
    </tableStyle>
  </tableStyles>
  <colors>
    <mruColors>
      <color rgb="FFFF6600"/>
      <color rgb="FFFF3300"/>
      <color rgb="FFFF00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'Saldo &amp; Mov.'!$E$3</c:f>
              <c:strCache>
                <c:ptCount val="1"/>
                <c:pt idx="0">
                  <c:v>Alimentação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'Saldo &amp; Mov.'!$E$4</c:f>
              <c:strCache>
                <c:ptCount val="1"/>
                <c:pt idx="0">
                  <c:v>Transp./ Carro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'Saldo &amp; Mov.'!$E$5</c:f>
              <c:strCache>
                <c:ptCount val="1"/>
                <c:pt idx="0">
                  <c:v>Condomínio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'Saldo &amp; Mov.'!$E$6</c:f>
              <c:strCache>
                <c:ptCount val="1"/>
                <c:pt idx="0">
                  <c:v>Curso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'Saldo &amp; Mov.'!$E$7</c:f>
              <c:strCache>
                <c:ptCount val="1"/>
                <c:pt idx="0">
                  <c:v>Eletrônicos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Mov.'!$F$7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'Saldo &amp; Mov.'!$E$8</c:f>
              <c:strCache>
                <c:ptCount val="1"/>
                <c:pt idx="0">
                  <c:v>Farm. e Saúde.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Mov.'!$F$8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'Saldo &amp; Mov.'!$E$9</c:f>
              <c:strCache>
                <c:ptCount val="1"/>
                <c:pt idx="0">
                  <c:v>G. Residencial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Mov.'!$F$9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'Saldo &amp; Mov.'!$E$10</c:f>
              <c:strCache>
                <c:ptCount val="1"/>
                <c:pt idx="0">
                  <c:v>Gasolina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Mov.'!$F$10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'Saldo &amp; Mov.'!$E$11</c:f>
              <c:strCache>
                <c:ptCount val="1"/>
                <c:pt idx="0">
                  <c:v>Jogos/ Livros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Mov.'!$F$11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ser>
          <c:idx val="9"/>
          <c:order val="9"/>
          <c:tx>
            <c:strRef>
              <c:f>'Saldo &amp; Mov.'!$E$12</c:f>
              <c:strCache>
                <c:ptCount val="1"/>
                <c:pt idx="0">
                  <c:v>Rolê/ Entret.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0000"/>
                  </a:schemeClr>
                </a:gs>
                <a:gs pos="75000">
                  <a:schemeClr val="accent4">
                    <a:lumMod val="60000"/>
                    <a:lumMod val="60000"/>
                    <a:lumOff val="40000"/>
                  </a:schemeClr>
                </a:gs>
                <a:gs pos="51000">
                  <a:schemeClr val="accent4">
                    <a:lumMod val="60000"/>
                    <a:alpha val="75000"/>
                  </a:schemeClr>
                </a:gs>
                <a:gs pos="100000">
                  <a:schemeClr val="accent4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C-4D1B-8BF0-9BBD4C8696AA}"/>
            </c:ext>
          </c:extLst>
        </c:ser>
        <c:ser>
          <c:idx val="10"/>
          <c:order val="10"/>
          <c:tx>
            <c:strRef>
              <c:f>'Saldo &amp; Mov.'!$E$13</c:f>
              <c:strCache>
                <c:ptCount val="1"/>
                <c:pt idx="0">
                  <c:v>Roupas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60000"/>
                  </a:schemeClr>
                </a:gs>
                <a:gs pos="75000">
                  <a:schemeClr val="accent5">
                    <a:lumMod val="60000"/>
                    <a:lumMod val="60000"/>
                    <a:lumOff val="40000"/>
                  </a:schemeClr>
                </a:gs>
                <a:gs pos="51000">
                  <a:schemeClr val="accent5">
                    <a:lumMod val="60000"/>
                    <a:alpha val="75000"/>
                  </a:schemeClr>
                </a:gs>
                <a:gs pos="100000">
                  <a:schemeClr val="accent5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Mov.'!$F$13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C-4D1B-8BF0-9BBD4C8696AA}"/>
            </c:ext>
          </c:extLst>
        </c:ser>
        <c:ser>
          <c:idx val="11"/>
          <c:order val="11"/>
          <c:tx>
            <c:strRef>
              <c:f>'Saldo &amp; Mov.'!$E$14</c:f>
              <c:strCache>
                <c:ptCount val="1"/>
                <c:pt idx="0">
                  <c:v>G. Gerais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60000"/>
                  </a:schemeClr>
                </a:gs>
                <a:gs pos="75000">
                  <a:schemeClr val="accent6">
                    <a:lumMod val="60000"/>
                    <a:lumMod val="60000"/>
                    <a:lumOff val="40000"/>
                  </a:schemeClr>
                </a:gs>
                <a:gs pos="51000">
                  <a:schemeClr val="accent6">
                    <a:lumMod val="60000"/>
                    <a:alpha val="75000"/>
                  </a:schemeClr>
                </a:gs>
                <a:gs pos="100000">
                  <a:schemeClr val="accent6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Mov.'!$F$2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C-4D1B-8BF0-9BBD4C869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110555609541981"/>
          <c:w val="1"/>
          <c:h val="0.16889444390458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Anual'!$C$2</c:f>
              <c:strCache>
                <c:ptCount val="1"/>
                <c:pt idx="0">
                  <c:v>R. Líquida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'Gráfico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Anual'!$C$3:$C$14</c:f>
              <c:numCache>
                <c:formatCode>_("R$"* #,##0.00_);_("R$"* \(#,##0.00\);_("R$"* "-"??_);_(@_)</c:formatCode>
                <c:ptCount val="12"/>
                <c:pt idx="0">
                  <c:v>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'Gráfico Anual'!$F$2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Anual'!$F$3:$F$14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'Gráfico Anual'!$D$2</c:f>
              <c:strCache>
                <c:ptCount val="1"/>
                <c:pt idx="0">
                  <c:v>Investimentos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'Gráfico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Anual'!$D$3:$D$14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scatterChart>
        <c:scatterStyle val="lineMarker"/>
        <c:varyColors val="0"/>
        <c:ser>
          <c:idx val="3"/>
          <c:order val="3"/>
          <c:tx>
            <c:v>Saldo Real</c:v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ash"/>
            <c:size val="20"/>
            <c:spPr>
              <a:solidFill>
                <a:schemeClr val="accent3">
                  <a:lumMod val="75000"/>
                  <a:alpha val="50000"/>
                </a:schemeClr>
              </a:solidFill>
              <a:ln w="25400">
                <a:solidFill>
                  <a:srgbClr val="FF0000">
                    <a:alpha val="50000"/>
                  </a:srgb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yVal>
            <c:numRef>
              <c:f>'Gráfico Anual'!$I$3:$I$14</c:f>
              <c:numCache>
                <c:formatCode>_("R$"* #,##0.00_);_("R$"* \(#,##0.00\);_("R$"* "-"??_);_(@_)</c:formatCode>
                <c:ptCount val="1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A-4226-BC63-E6F9D6BC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93455"/>
        <c:axId val="586649311"/>
      </c:scatter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Anual'!$K$2:$K$10</c15:sqref>
                  </c15:fullRef>
                </c:ext>
              </c:extLst>
              <c:f>('Gráfico Anual'!$K$3:$K$7,'Gráfico Anual'!$K$10)</c:f>
              <c:strCache>
                <c:ptCount val="6"/>
                <c:pt idx="0">
                  <c:v>Receita Bruta</c:v>
                </c:pt>
                <c:pt idx="1">
                  <c:v>Perdas </c:v>
                </c:pt>
                <c:pt idx="2">
                  <c:v>Receita Líquida</c:v>
                </c:pt>
                <c:pt idx="3">
                  <c:v>Desp. Fixas</c:v>
                </c:pt>
                <c:pt idx="4">
                  <c:v>Desp. Gerais</c:v>
                </c:pt>
                <c:pt idx="5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Anual'!$L$2:$L$10</c15:sqref>
                  </c15:fullRef>
                </c:ext>
              </c:extLst>
              <c:f>('Gráfico Anual'!$L$3:$L$7,'Gráfico Anual'!$L$10)</c:f>
              <c:numCache>
                <c:formatCode>_("R$"* #,##0.00_);_("R$"* \(#,##0.00\);_("R$"* "-"??_);_(@_)</c:formatCode>
                <c:ptCount val="6"/>
                <c:pt idx="0">
                  <c:v>150</c:v>
                </c:pt>
                <c:pt idx="1">
                  <c:v>0</c:v>
                </c:pt>
                <c:pt idx="2">
                  <c:v>150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Anual'!$N$3:$N$13</c:f>
              <c:strCache>
                <c:ptCount val="11"/>
                <c:pt idx="0">
                  <c:v>Alimentação</c:v>
                </c:pt>
                <c:pt idx="1">
                  <c:v>Transp./ Carro</c:v>
                </c:pt>
                <c:pt idx="2">
                  <c:v>Condomínio</c:v>
                </c:pt>
                <c:pt idx="3">
                  <c:v>Curso</c:v>
                </c:pt>
                <c:pt idx="4">
                  <c:v>Eletrônicos</c:v>
                </c:pt>
                <c:pt idx="5">
                  <c:v>Farm. e Saúde.</c:v>
                </c:pt>
                <c:pt idx="6">
                  <c:v>G. Residencial</c:v>
                </c:pt>
                <c:pt idx="7">
                  <c:v>Gasolina</c:v>
                </c:pt>
                <c:pt idx="8">
                  <c:v>Jogos/ Livros</c:v>
                </c:pt>
                <c:pt idx="9">
                  <c:v>Rolê/ Entret.</c:v>
                </c:pt>
                <c:pt idx="10">
                  <c:v>Roupas</c:v>
                </c:pt>
              </c:strCache>
            </c:strRef>
          </c:cat>
          <c:val>
            <c:numRef>
              <c:f>'Gráfico Anual'!$O$3:$O$13</c:f>
              <c:numCache>
                <c:formatCode>_("R$"* #,##0.00_);_("R$"* \(#,##0.00\);_("R$"*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</xdr:colOff>
      <xdr:row>0</xdr:row>
      <xdr:rowOff>21124</xdr:rowOff>
    </xdr:from>
    <xdr:to>
      <xdr:col>8</xdr:col>
      <xdr:colOff>0</xdr:colOff>
      <xdr:row>14</xdr:row>
      <xdr:rowOff>9389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6334</xdr:colOff>
      <xdr:row>0</xdr:row>
      <xdr:rowOff>0</xdr:rowOff>
    </xdr:from>
    <xdr:to>
      <xdr:col>10</xdr:col>
      <xdr:colOff>27156</xdr:colOff>
      <xdr:row>26</xdr:row>
      <xdr:rowOff>101851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25269</xdr:colOff>
      <xdr:row>0</xdr:row>
      <xdr:rowOff>0</xdr:rowOff>
    </xdr:from>
    <xdr:to>
      <xdr:col>16</xdr:col>
      <xdr:colOff>0</xdr:colOff>
      <xdr:row>13</xdr:row>
      <xdr:rowOff>8697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25610</xdr:colOff>
      <xdr:row>13</xdr:row>
      <xdr:rowOff>16384</xdr:rowOff>
    </xdr:from>
    <xdr:to>
      <xdr:col>16</xdr:col>
      <xdr:colOff>1391</xdr:colOff>
      <xdr:row>26</xdr:row>
      <xdr:rowOff>87585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6:H20" insertRowShift="1" totalsRowShown="0" headerRowDxfId="9">
  <autoFilter ref="B16:H20" xr:uid="{739BA625-5E32-4F47-8323-C47308DEF24A}"/>
  <sortState xmlns:xlrd2="http://schemas.microsoft.com/office/spreadsheetml/2017/richdata2" ref="B17:H29">
    <sortCondition ref="B16:B29"/>
  </sortState>
  <tableColumns count="7">
    <tableColumn id="1" xr3:uid="{F0A7AC4E-C2B6-48F0-8ABD-146393E8FC69}" name="Data" dataDxfId="8"/>
    <tableColumn id="2" xr3:uid="{684795FD-753E-4C1F-B63E-5EE124E9D624}" name="Mês" dataDxfId="7">
      <calculatedColumnFormula>IF(ISBLANK(B17),"",PROPER(TEXT(B17,"MMMM")))</calculatedColumnFormula>
    </tableColumn>
    <tableColumn id="6" xr3:uid="{23818CCC-08C7-4066-9B86-98D831460C75}" name="Operação" dataDxfId="6"/>
    <tableColumn id="3" xr3:uid="{78815540-1C3C-4370-A3E4-1C8E033CFC39}" name="Categoria" dataDxfId="5"/>
    <tableColumn id="7" xr3:uid="{F153B94E-6C60-4C63-A86C-8519A94E1F13}" name="Conta" dataDxfId="4"/>
    <tableColumn id="4" xr3:uid="{EE54C9A2-2D53-4D6A-93DF-88B691A8C3D9}" name="Valor" dataDxfId="3" dataCellStyle="Moeda"/>
    <tableColumn id="5" xr3:uid="{28149A80-D409-4A63-B4C2-6EDA92C21F54}" name="Descrição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5F8E-9A60-4A91-9240-674E3E5733FC}">
  <sheetPr>
    <tabColor theme="0"/>
  </sheetPr>
  <dimension ref="B2:O16"/>
  <sheetViews>
    <sheetView zoomScale="120" zoomScaleNormal="120" workbookViewId="0">
      <selection activeCell="B2" sqref="B2"/>
    </sheetView>
  </sheetViews>
  <sheetFormatPr defaultRowHeight="14.3" x14ac:dyDescent="0.25"/>
  <cols>
    <col min="1" max="1" width="3.5703125" style="1" customWidth="1"/>
    <col min="2" max="3" width="14.28515625" style="1" customWidth="1"/>
    <col min="4" max="4" width="3.5703125" style="1" customWidth="1"/>
    <col min="5" max="5" width="17.140625" style="1" customWidth="1"/>
    <col min="6" max="6" width="3.5703125" style="1" customWidth="1"/>
    <col min="7" max="7" width="17.140625" style="1" customWidth="1"/>
    <col min="8" max="8" width="3.5703125" style="1" customWidth="1"/>
    <col min="9" max="9" width="17.140625" style="1" customWidth="1"/>
    <col min="10" max="10" width="3.5703125" style="1" customWidth="1"/>
    <col min="11" max="11" width="14.28515625" style="1" customWidth="1"/>
    <col min="12" max="12" width="3.5703125" style="1" customWidth="1"/>
    <col min="13" max="13" width="17.140625" style="1" customWidth="1"/>
    <col min="14" max="14" width="3.5703125" style="1" customWidth="1"/>
    <col min="15" max="15" width="14.28515625" style="1" customWidth="1"/>
    <col min="16" max="16" width="3.5703125" style="1" customWidth="1"/>
    <col min="17" max="17" width="11.42578125" style="1" customWidth="1"/>
    <col min="18" max="16384" width="9.140625" style="1"/>
  </cols>
  <sheetData>
    <row r="2" spans="2:15" x14ac:dyDescent="0.25">
      <c r="B2" s="1" t="s">
        <v>74</v>
      </c>
    </row>
    <row r="4" spans="2:15" ht="15" x14ac:dyDescent="0.3">
      <c r="B4" s="44" t="s">
        <v>75</v>
      </c>
      <c r="C4" s="44" t="s">
        <v>83</v>
      </c>
      <c r="E4" s="44" t="s">
        <v>1</v>
      </c>
      <c r="G4" s="44" t="s">
        <v>72</v>
      </c>
      <c r="I4" s="44" t="s">
        <v>54</v>
      </c>
      <c r="K4" s="44" t="s">
        <v>73</v>
      </c>
      <c r="M4" s="44" t="s">
        <v>16</v>
      </c>
      <c r="O4" s="44" t="s">
        <v>60</v>
      </c>
    </row>
    <row r="5" spans="2:15" x14ac:dyDescent="0.25">
      <c r="B5" s="72" t="s">
        <v>29</v>
      </c>
      <c r="C5" s="82">
        <v>0</v>
      </c>
      <c r="E5" s="72" t="s">
        <v>21</v>
      </c>
      <c r="G5" s="72" t="s">
        <v>36</v>
      </c>
      <c r="I5" s="72" t="s">
        <v>26</v>
      </c>
      <c r="K5" s="73" t="str" cm="1">
        <f t="array" ref="K5:K8">Transferir</f>
        <v>Banco 1</v>
      </c>
      <c r="M5" s="73" t="str" cm="1">
        <f t="array" ref="M5:M9">Receitas</f>
        <v>Salário</v>
      </c>
      <c r="O5" s="73" t="s">
        <v>44</v>
      </c>
    </row>
    <row r="6" spans="2:15" x14ac:dyDescent="0.25">
      <c r="B6" s="72" t="s">
        <v>30</v>
      </c>
      <c r="C6" s="82">
        <v>0</v>
      </c>
      <c r="E6" s="72" t="s">
        <v>77</v>
      </c>
      <c r="G6" s="72" t="s">
        <v>45</v>
      </c>
      <c r="I6" s="72" t="s">
        <v>35</v>
      </c>
      <c r="K6" s="73" t="str">
        <v>Banco 2</v>
      </c>
      <c r="M6" s="73" t="str">
        <v>Vendas</v>
      </c>
      <c r="O6" s="73" t="s">
        <v>61</v>
      </c>
    </row>
    <row r="7" spans="2:15" x14ac:dyDescent="0.25">
      <c r="B7" s="72" t="s">
        <v>82</v>
      </c>
      <c r="C7" s="82">
        <v>0</v>
      </c>
      <c r="E7" s="72" t="s">
        <v>52</v>
      </c>
      <c r="G7" s="72" t="s">
        <v>53</v>
      </c>
      <c r="I7" s="72" t="s">
        <v>47</v>
      </c>
      <c r="K7" s="73" t="str">
        <v>Dinheiro</v>
      </c>
      <c r="M7" s="73" t="str">
        <v>Aluguel</v>
      </c>
      <c r="O7" s="73" t="s">
        <v>62</v>
      </c>
    </row>
    <row r="8" spans="2:15" x14ac:dyDescent="0.25">
      <c r="B8" s="72" t="s">
        <v>78</v>
      </c>
      <c r="C8" s="82">
        <v>0</v>
      </c>
      <c r="E8" s="72" t="s">
        <v>58</v>
      </c>
      <c r="G8" s="72" t="s">
        <v>81</v>
      </c>
      <c r="I8" s="72" t="s">
        <v>46</v>
      </c>
      <c r="K8" s="73" t="str">
        <v>Savings</v>
      </c>
      <c r="M8" s="73" t="str">
        <v>Rendimentos</v>
      </c>
      <c r="O8" s="73" t="s">
        <v>63</v>
      </c>
    </row>
    <row r="9" spans="2:15" x14ac:dyDescent="0.25">
      <c r="B9" s="73" t="s">
        <v>79</v>
      </c>
      <c r="C9" s="82">
        <v>0</v>
      </c>
      <c r="E9" s="72" t="s">
        <v>51</v>
      </c>
      <c r="G9" s="72" t="s">
        <v>39</v>
      </c>
      <c r="I9" s="72" t="s">
        <v>43</v>
      </c>
      <c r="M9" s="73" t="str">
        <v>Receitas Outros</v>
      </c>
      <c r="O9" s="73" t="s">
        <v>64</v>
      </c>
    </row>
    <row r="10" spans="2:15" x14ac:dyDescent="0.25">
      <c r="E10" s="72" t="s">
        <v>20</v>
      </c>
      <c r="M10" s="73" t="str" cm="1">
        <f t="array" ref="M10:M14">Perdas</f>
        <v>Inss</v>
      </c>
      <c r="O10" s="73" t="s">
        <v>65</v>
      </c>
    </row>
    <row r="11" spans="2:15" x14ac:dyDescent="0.25">
      <c r="E11" s="72" t="s">
        <v>50</v>
      </c>
      <c r="M11" s="73" t="str">
        <v>T. Transporte</v>
      </c>
      <c r="O11" s="73" t="s">
        <v>66</v>
      </c>
    </row>
    <row r="12" spans="2:15" x14ac:dyDescent="0.25">
      <c r="E12" s="72" t="s">
        <v>57</v>
      </c>
      <c r="M12" s="73" t="str">
        <v>Taxa</v>
      </c>
      <c r="O12" s="73" t="s">
        <v>67</v>
      </c>
    </row>
    <row r="13" spans="2:15" x14ac:dyDescent="0.25">
      <c r="E13" s="72" t="s">
        <v>55</v>
      </c>
      <c r="M13" s="73" t="str">
        <v>Imposto</v>
      </c>
      <c r="O13" s="73" t="s">
        <v>68</v>
      </c>
    </row>
    <row r="14" spans="2:15" ht="15" x14ac:dyDescent="0.3">
      <c r="E14" s="72" t="s">
        <v>56</v>
      </c>
      <c r="G14" s="44" t="s">
        <v>3</v>
      </c>
      <c r="K14" s="44" t="s">
        <v>80</v>
      </c>
      <c r="M14" s="73" t="str">
        <v>Perdas Outros</v>
      </c>
      <c r="O14" s="73" t="s">
        <v>69</v>
      </c>
    </row>
    <row r="15" spans="2:15" x14ac:dyDescent="0.25">
      <c r="E15" s="72" t="s">
        <v>11</v>
      </c>
      <c r="G15" s="72" t="s">
        <v>48</v>
      </c>
      <c r="K15" s="73" t="str">
        <f>B9</f>
        <v>C. Crédito</v>
      </c>
      <c r="M15" s="73" t="str" cm="1">
        <f t="array" ref="M15:M16">Investimentos</f>
        <v>CDI</v>
      </c>
      <c r="O15" s="73" t="s">
        <v>70</v>
      </c>
    </row>
    <row r="16" spans="2:15" x14ac:dyDescent="0.25">
      <c r="E16" s="72" t="s">
        <v>33</v>
      </c>
      <c r="G16" s="72" t="s">
        <v>49</v>
      </c>
      <c r="M16" s="73" t="str">
        <v>Tesouro Direto</v>
      </c>
      <c r="O16" s="73" t="s">
        <v>71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785"/>
  <sheetViews>
    <sheetView tabSelected="1" zoomScale="120" zoomScaleNormal="120" workbookViewId="0">
      <pane ySplit="16" topLeftCell="A17" activePane="bottomLeft" state="frozen"/>
      <selection pane="bottomLeft" activeCell="B18" sqref="B18"/>
    </sheetView>
  </sheetViews>
  <sheetFormatPr defaultRowHeight="15" x14ac:dyDescent="0.3"/>
  <cols>
    <col min="1" max="1" width="14.28515625" style="58" customWidth="1"/>
    <col min="2" max="2" width="15.7109375" style="56" customWidth="1"/>
    <col min="3" max="3" width="15.7109375" style="57" customWidth="1"/>
    <col min="4" max="4" width="14.28515625" style="57" customWidth="1"/>
    <col min="5" max="6" width="15.7109375" style="58" customWidth="1"/>
    <col min="7" max="7" width="15.7109375" style="61" customWidth="1"/>
    <col min="8" max="8" width="34.28515625" style="60" customWidth="1"/>
    <col min="9" max="9" width="13.5703125" style="58" customWidth="1"/>
    <col min="10" max="10" width="10" style="58" customWidth="1"/>
    <col min="11" max="16384" width="9.140625" style="58"/>
  </cols>
  <sheetData>
    <row r="1" spans="1:8" ht="3.6" customHeight="1" x14ac:dyDescent="0.3"/>
    <row r="2" spans="1:8" ht="14.3" customHeight="1" x14ac:dyDescent="0.3">
      <c r="B2" s="44" t="s">
        <v>44</v>
      </c>
      <c r="C2" s="44" t="s">
        <v>2</v>
      </c>
      <c r="E2" s="70" t="s">
        <v>38</v>
      </c>
      <c r="F2" s="68" t="s">
        <v>25</v>
      </c>
    </row>
    <row r="3" spans="1:8" ht="14.3" customHeight="1" x14ac:dyDescent="0.3">
      <c r="B3" s="55" t="s">
        <v>1</v>
      </c>
      <c r="C3" s="26">
        <f>IF(B3="Despesas",HLOOKUP(B2,'Despesas Gerais'!B2:M20,19,FALSE),IF(B3="Receita Líquida",HLOOKUP(B2,'Receita Líquida'!B4:M18,15,FALSE),""))</f>
        <v>0</v>
      </c>
      <c r="E3" s="67" t="str" cm="1">
        <f t="array" ref="E3:E14">IF(B3="Despesas",Despesas,IF(B3="Receita Líquida",Receita_Líquida,""))</f>
        <v>Alimentação</v>
      </c>
      <c r="F3" s="68" cm="1">
        <f t="array" ref="F3:F14">IF(B3="Despesas",_xlfn._xlws.FILTER('Despesas Gerais'!B7:M18,'Despesas Gerais'!B2:M2=B2),IF(B3="Receita Líquida",_xlfn._xlws.FILTER('Receita Líquida'!B5:M16,'Receita Líquida'!B4:M4=B2),""))</f>
        <v>0</v>
      </c>
      <c r="H3" s="58"/>
    </row>
    <row r="4" spans="1:8" ht="14.3" customHeight="1" x14ac:dyDescent="0.3">
      <c r="B4" s="55" t="s">
        <v>59</v>
      </c>
      <c r="C4" s="71">
        <f>HLOOKUP(B2,'Despesas Gerais'!B2:M20,19,FALSE)/HLOOKUP(B2,'Receita Líquida'!B4:M18,15,FALSE)</f>
        <v>0</v>
      </c>
      <c r="E4" s="67" t="str">
        <v>Transp./ Carro</v>
      </c>
      <c r="F4" s="68">
        <v>0</v>
      </c>
      <c r="H4" s="58"/>
    </row>
    <row r="5" spans="1:8" ht="14.3" customHeight="1" x14ac:dyDescent="0.3">
      <c r="B5" s="27" t="s">
        <v>4</v>
      </c>
      <c r="C5" s="26">
        <f>VLOOKUP(B2,'Gráfico Anual'!A3:I14,9,FALSE)</f>
        <v>150</v>
      </c>
      <c r="E5" s="67" t="str">
        <v>Condomínio</v>
      </c>
      <c r="F5" s="68">
        <v>0</v>
      </c>
      <c r="H5" s="58"/>
    </row>
    <row r="6" spans="1:8" ht="14.3" customHeight="1" x14ac:dyDescent="0.3">
      <c r="B6" s="27" t="s">
        <v>41</v>
      </c>
      <c r="C6" s="26">
        <f>'Gráfico Anual'!I15</f>
        <v>150</v>
      </c>
      <c r="E6" s="67" t="str">
        <v>Curso</v>
      </c>
      <c r="F6" s="68">
        <v>0</v>
      </c>
      <c r="H6" s="58"/>
    </row>
    <row r="7" spans="1:8" ht="14.3" customHeight="1" x14ac:dyDescent="0.3">
      <c r="E7" s="67" t="str">
        <v>Eletrônicos</v>
      </c>
      <c r="F7" s="68">
        <v>0</v>
      </c>
      <c r="H7" s="58"/>
    </row>
    <row r="8" spans="1:8" ht="14.3" customHeight="1" x14ac:dyDescent="0.3">
      <c r="B8" s="44" t="s">
        <v>75</v>
      </c>
      <c r="C8" s="44" t="s">
        <v>2</v>
      </c>
      <c r="E8" s="67" t="str">
        <v>Farm. e Saúde.</v>
      </c>
      <c r="F8" s="68">
        <v>0</v>
      </c>
      <c r="H8" s="58"/>
    </row>
    <row r="9" spans="1:8" ht="14.3" customHeight="1" x14ac:dyDescent="0.3">
      <c r="B9" s="27" t="str" cm="1">
        <f t="array" ref="B9:B13">Contas</f>
        <v>Banco 1</v>
      </c>
      <c r="C9" s="2" cm="1">
        <f t="array" aca="1" ref="C9" ca="1">SUM(SUMIFS(Tabela1[Valor],Tabela1[Operação],{"Receitas";"Transferir"},Tabela1[Conta],B9,Tabela1[Data],"&lt;="&amp;(TODAY())))-SUMIFS(Tabela1[Valor],Tabela1[Operação],"&lt;&gt;Receitas",Tabela1[Operação],"&lt;&gt;Transferir",Tabela1[Conta],B9,Tabela1[Data],"&lt;="&amp;(TODAY())) - SUMIFS(Tabela1[Valor],Tabela1[Categoria],B9,Tabela1[Data],"&lt;="&amp;(TODAY()))+VLOOKUP(B9,'Validação de Dados'!B5:C9,2,FALSE)</f>
        <v>150</v>
      </c>
      <c r="E9" s="67" t="str">
        <v>G. Residencial</v>
      </c>
      <c r="F9" s="68">
        <v>0</v>
      </c>
      <c r="H9" s="58"/>
    </row>
    <row r="10" spans="1:8" ht="14.3" customHeight="1" x14ac:dyDescent="0.3">
      <c r="A10" s="57"/>
      <c r="B10" s="27" t="str">
        <v>Banco 2</v>
      </c>
      <c r="C10" s="2" cm="1">
        <f t="array" aca="1" ref="C10" ca="1">SUM(SUMIFS(Tabela1[Valor],Tabela1[Operação],{"Receitas";"Transferir"},Tabela1[Conta],B10,Tabela1[Data],"&lt;="&amp;(TODAY())))-SUMIFS(Tabela1[Valor],Tabela1[Operação],"&lt;&gt;Receitas",Tabela1[Operação],"&lt;&gt;Transferir",Tabela1[Conta],B10,Tabela1[Data],"&lt;="&amp;(TODAY())) - SUMIFS(Tabela1[Valor],Tabela1[Categoria],B10,Tabela1[Data],"&lt;="&amp;(TODAY()))+VLOOKUP(B10,'Validação de Dados'!B6:C10,2,FALSE)</f>
        <v>0</v>
      </c>
      <c r="E10" s="67" t="str">
        <v>Gasolina</v>
      </c>
      <c r="F10" s="68">
        <v>0</v>
      </c>
      <c r="H10" s="58"/>
    </row>
    <row r="11" spans="1:8" ht="14.3" customHeight="1" x14ac:dyDescent="0.3">
      <c r="A11" s="57"/>
      <c r="B11" s="27" t="str">
        <v>Dinheiro</v>
      </c>
      <c r="C11" s="2" cm="1">
        <f t="array" aca="1" ref="C11" ca="1">SUM(SUMIFS(Tabela1[Valor],Tabela1[Operação],{"Receitas";"Transferir"},Tabela1[Conta],B11,Tabela1[Data],"&lt;="&amp;(TODAY())))-SUMIFS(Tabela1[Valor],Tabela1[Operação],"&lt;&gt;Receitas",Tabela1[Operação],"&lt;&gt;Transferir",Tabela1[Conta],B11,Tabela1[Data],"&lt;="&amp;(TODAY())) - SUMIFS(Tabela1[Valor],Tabela1[Categoria],B11,Tabela1[Data],"&lt;="&amp;(TODAY()))+VLOOKUP(B11,'Validação de Dados'!B7:C11,2,FALSE)</f>
        <v>0</v>
      </c>
      <c r="E11" s="67" t="str">
        <v>Jogos/ Livros</v>
      </c>
      <c r="F11" s="68">
        <v>0</v>
      </c>
      <c r="H11" s="58"/>
    </row>
    <row r="12" spans="1:8" ht="14.3" customHeight="1" x14ac:dyDescent="0.3">
      <c r="A12" s="57"/>
      <c r="B12" s="27" t="str">
        <v>Savings</v>
      </c>
      <c r="C12" s="2" cm="1">
        <f t="array" aca="1" ref="C12" ca="1">SUM(SUMIFS(Tabela1[Valor],Tabela1[Operação],{"Receitas";"Transferir"},Tabela1[Conta],B12,Tabela1[Data],"&lt;="&amp;(TODAY())))-SUMIFS(Tabela1[Valor],Tabela1[Operação],"&lt;&gt;Receitas",Tabela1[Operação],"&lt;&gt;Transferir",Tabela1[Conta],B12,Tabela1[Data],"&lt;="&amp;(TODAY())) - SUMIFS(Tabela1[Valor],Tabela1[Categoria],B12,Tabela1[Data],"&lt;="&amp;(TODAY()))+VLOOKUP(B12,'Validação de Dados'!B8:C12,2,FALSE)</f>
        <v>0</v>
      </c>
      <c r="E12" s="67" t="str">
        <v>Rolê/ Entret.</v>
      </c>
      <c r="F12" s="68">
        <v>0</v>
      </c>
      <c r="H12" s="58"/>
    </row>
    <row r="13" spans="1:8" ht="14.3" customHeight="1" x14ac:dyDescent="0.3">
      <c r="A13" s="57"/>
      <c r="B13" s="27" t="str">
        <v>C. Crédito</v>
      </c>
      <c r="C13" s="26">
        <f ca="1">SUMIFS(Tabela1[Valor],Tabela1[Conta],B13,Tabela1[Data],"&lt;="&amp;(TODAY()))-SUMIFS(Tabela1[Valor],Tabela1[Categoria],B13,Tabela1[Data],"&lt;="&amp;(TODAY()))+VLOOKUP(B13,'Validação de Dados'!B5:C9,2,FALSE)</f>
        <v>0</v>
      </c>
      <c r="E13" s="67" t="str">
        <v>Roupas</v>
      </c>
      <c r="F13" s="68">
        <v>0</v>
      </c>
      <c r="H13" s="58"/>
    </row>
    <row r="14" spans="1:8" ht="14.3" customHeight="1" x14ac:dyDescent="0.3">
      <c r="A14" s="57"/>
      <c r="B14" s="27" t="s">
        <v>42</v>
      </c>
      <c r="C14" s="26">
        <f ca="1">ROUND(C5-SUM(C9:C12),2)</f>
        <v>0</v>
      </c>
      <c r="E14" s="67" t="str">
        <v>G. Gerais</v>
      </c>
      <c r="F14" s="69">
        <v>0</v>
      </c>
      <c r="H14" s="58"/>
    </row>
    <row r="15" spans="1:8" ht="3.6" customHeight="1" x14ac:dyDescent="0.3">
      <c r="A15" s="64"/>
      <c r="H15" s="58"/>
    </row>
    <row r="16" spans="1:8" ht="14.3" customHeight="1" x14ac:dyDescent="0.3">
      <c r="A16" s="66">
        <f>SUBTOTAL(2,Tabela1[Data])</f>
        <v>1</v>
      </c>
      <c r="B16" s="28" t="s">
        <v>31</v>
      </c>
      <c r="C16" s="29" t="s">
        <v>0</v>
      </c>
      <c r="D16" s="29" t="s">
        <v>37</v>
      </c>
      <c r="E16" s="30" t="s">
        <v>32</v>
      </c>
      <c r="F16" s="30" t="s">
        <v>76</v>
      </c>
      <c r="G16" s="31" t="s">
        <v>25</v>
      </c>
      <c r="H16" s="30" t="s">
        <v>13</v>
      </c>
    </row>
    <row r="17" spans="2:8" ht="13.55" customHeight="1" x14ac:dyDescent="0.3">
      <c r="B17" s="32">
        <v>45292</v>
      </c>
      <c r="C17" s="33" t="str">
        <f t="shared" ref="C17" si="0">IF(ISBLANK(B17),"",PROPER(TEXT(B17,"MMMM")))</f>
        <v>Janeiro</v>
      </c>
      <c r="D17" s="33" t="s">
        <v>54</v>
      </c>
      <c r="E17" s="34" t="s">
        <v>26</v>
      </c>
      <c r="F17" s="34" t="s">
        <v>29</v>
      </c>
      <c r="G17" s="35">
        <v>150</v>
      </c>
      <c r="H17" s="36"/>
    </row>
    <row r="18" spans="2:8" x14ac:dyDescent="0.3">
      <c r="B18" s="32"/>
      <c r="C18" s="33" t="str">
        <f>IF(ISBLANK(B18),"",PROPER(TEXT(B18,"MMMM")))</f>
        <v/>
      </c>
      <c r="D18" s="33"/>
      <c r="E18" s="34"/>
      <c r="F18" s="34"/>
      <c r="G18" s="35"/>
      <c r="H18" s="36"/>
    </row>
    <row r="19" spans="2:8" x14ac:dyDescent="0.3">
      <c r="B19" s="32"/>
      <c r="C19" s="33" t="str">
        <f>IF(ISBLANK(B19),"",PROPER(TEXT(B19,"MMMM")))</f>
        <v/>
      </c>
      <c r="D19" s="33"/>
      <c r="E19" s="34"/>
      <c r="F19" s="34"/>
      <c r="G19" s="35"/>
      <c r="H19" s="36"/>
    </row>
    <row r="20" spans="2:8" x14ac:dyDescent="0.3">
      <c r="B20" s="79"/>
      <c r="C20" s="33" t="str">
        <f t="shared" ref="C20" si="1">IF(ISBLANK(B20),"",PROPER(TEXT(B20,"MMMM")))</f>
        <v/>
      </c>
      <c r="D20" s="33"/>
      <c r="E20" s="34"/>
      <c r="F20" s="34"/>
      <c r="G20" s="35"/>
      <c r="H20" s="36"/>
    </row>
    <row r="23" spans="2:8" x14ac:dyDescent="0.3">
      <c r="G23" s="59"/>
    </row>
    <row r="25" spans="2:8" x14ac:dyDescent="0.3">
      <c r="G25" s="59"/>
    </row>
    <row r="26" spans="2:8" x14ac:dyDescent="0.3">
      <c r="G26" s="59"/>
    </row>
    <row r="27" spans="2:8" x14ac:dyDescent="0.3">
      <c r="G27" s="59"/>
    </row>
    <row r="28" spans="2:8" x14ac:dyDescent="0.3">
      <c r="G28" s="59"/>
    </row>
    <row r="38" spans="9:9" x14ac:dyDescent="0.3">
      <c r="I38" s="58" t="s">
        <v>34</v>
      </c>
    </row>
    <row r="137" spans="7:7" x14ac:dyDescent="0.3">
      <c r="G137" s="59"/>
    </row>
    <row r="139" spans="7:7" x14ac:dyDescent="0.3">
      <c r="G139" s="59"/>
    </row>
    <row r="140" spans="7:7" x14ac:dyDescent="0.3">
      <c r="G140" s="59"/>
    </row>
    <row r="141" spans="7:7" x14ac:dyDescent="0.3">
      <c r="G141" s="59"/>
    </row>
    <row r="142" spans="7:7" x14ac:dyDescent="0.3">
      <c r="G142" s="59"/>
    </row>
    <row r="248" spans="3:7" x14ac:dyDescent="0.3">
      <c r="C248" s="57" t="str">
        <f>IF(ISBLANK(B248),"",PROPER(TEXT(B248,"MMMM")))</f>
        <v/>
      </c>
    </row>
    <row r="249" spans="3:7" x14ac:dyDescent="0.3">
      <c r="C249" s="57" t="str">
        <f>IF(ISBLANK(B249),"",PROPER(TEXT(B249,"MMMM")))</f>
        <v/>
      </c>
      <c r="G249" s="62"/>
    </row>
    <row r="258" spans="3:7" x14ac:dyDescent="0.3">
      <c r="C258" s="57" t="str">
        <f>IF(ISBLANK(B258),"",PROPER(TEXT(B258,"MMMM")))</f>
        <v/>
      </c>
      <c r="D258" s="57" t="str">
        <f t="shared" ref="D258:G258" si="2">IF(ISBLANK(C258),"",PROPER(TEXT(C258,"MMMM")))</f>
        <v/>
      </c>
      <c r="E258" s="57" t="str">
        <f t="shared" si="2"/>
        <v/>
      </c>
      <c r="F258" s="57" t="str">
        <f t="shared" si="2"/>
        <v/>
      </c>
      <c r="G258" s="57" t="str">
        <f t="shared" si="2"/>
        <v/>
      </c>
    </row>
    <row r="267" spans="3:7" x14ac:dyDescent="0.3">
      <c r="C267" s="57" t="str">
        <f t="shared" ref="C267" si="3">IF(ISBLANK(B267),"",PROPER(TEXT(B267,"MMMM")))</f>
        <v/>
      </c>
    </row>
    <row r="268" spans="3:7" x14ac:dyDescent="0.3">
      <c r="C268" s="57" t="str">
        <f t="shared" ref="C268:C282" si="4">IF(ISBLANK(B268),"",PROPER(TEXT(B268,"MMMM")))</f>
        <v/>
      </c>
    </row>
    <row r="269" spans="3:7" x14ac:dyDescent="0.3">
      <c r="C269" s="57" t="str">
        <f t="shared" ref="C269:C279" si="5">IF(ISBLANK(B269),"",PROPER(TEXT(B269,"MMMM")))</f>
        <v/>
      </c>
    </row>
    <row r="270" spans="3:7" x14ac:dyDescent="0.3">
      <c r="C270" s="57" t="str">
        <f t="shared" si="5"/>
        <v/>
      </c>
    </row>
    <row r="271" spans="3:7" x14ac:dyDescent="0.3">
      <c r="C271" s="57" t="str">
        <f t="shared" si="5"/>
        <v/>
      </c>
    </row>
    <row r="272" spans="3:7" x14ac:dyDescent="0.3">
      <c r="C272" s="57" t="str">
        <f t="shared" si="5"/>
        <v/>
      </c>
    </row>
    <row r="273" spans="2:8" x14ac:dyDescent="0.3">
      <c r="C273" s="57" t="str">
        <f t="shared" si="5"/>
        <v/>
      </c>
    </row>
    <row r="274" spans="2:8" x14ac:dyDescent="0.3">
      <c r="C274" s="57" t="str">
        <f t="shared" si="5"/>
        <v/>
      </c>
    </row>
    <row r="275" spans="2:8" x14ac:dyDescent="0.3">
      <c r="C275" s="57" t="str">
        <f t="shared" si="5"/>
        <v/>
      </c>
    </row>
    <row r="276" spans="2:8" x14ac:dyDescent="0.3">
      <c r="C276" s="57" t="str">
        <f t="shared" si="5"/>
        <v/>
      </c>
    </row>
    <row r="277" spans="2:8" x14ac:dyDescent="0.3">
      <c r="C277" s="57" t="str">
        <f t="shared" si="5"/>
        <v/>
      </c>
    </row>
    <row r="278" spans="2:8" x14ac:dyDescent="0.3">
      <c r="C278" s="57" t="str">
        <f t="shared" si="5"/>
        <v/>
      </c>
    </row>
    <row r="279" spans="2:8" x14ac:dyDescent="0.3">
      <c r="C279" s="57" t="str">
        <f t="shared" si="5"/>
        <v/>
      </c>
    </row>
    <row r="280" spans="2:8" x14ac:dyDescent="0.3">
      <c r="C280" s="57" t="str">
        <f t="shared" si="4"/>
        <v/>
      </c>
    </row>
    <row r="281" spans="2:8" x14ac:dyDescent="0.3">
      <c r="C281" s="57" t="str">
        <f t="shared" si="4"/>
        <v/>
      </c>
    </row>
    <row r="282" spans="2:8" x14ac:dyDescent="0.3">
      <c r="C282" s="57" t="str">
        <f t="shared" si="4"/>
        <v/>
      </c>
      <c r="G282" s="59"/>
      <c r="H282" s="63"/>
    </row>
    <row r="283" spans="2:8" x14ac:dyDescent="0.3">
      <c r="B283" s="58"/>
      <c r="C283" s="58"/>
      <c r="D283" s="58"/>
      <c r="E283" s="64"/>
      <c r="F283" s="64"/>
      <c r="G283" s="59"/>
      <c r="H283" s="63"/>
    </row>
    <row r="284" spans="2:8" x14ac:dyDescent="0.3">
      <c r="B284" s="58"/>
      <c r="C284" s="58"/>
      <c r="D284" s="58"/>
      <c r="E284" s="64"/>
      <c r="F284" s="64"/>
      <c r="G284" s="59"/>
      <c r="H284" s="63"/>
    </row>
    <row r="285" spans="2:8" x14ac:dyDescent="0.3">
      <c r="B285" s="58"/>
      <c r="C285" s="58"/>
      <c r="D285" s="58"/>
      <c r="E285" s="64"/>
      <c r="F285" s="64"/>
      <c r="G285" s="59"/>
      <c r="H285" s="63"/>
    </row>
    <row r="286" spans="2:8" x14ac:dyDescent="0.3">
      <c r="B286" s="58"/>
      <c r="C286" s="65"/>
      <c r="D286" s="65"/>
      <c r="E286" s="64"/>
      <c r="F286" s="64"/>
      <c r="G286" s="59"/>
      <c r="H286" s="63"/>
    </row>
    <row r="287" spans="2:8" x14ac:dyDescent="0.3">
      <c r="B287" s="58"/>
      <c r="C287" s="58"/>
      <c r="D287" s="58"/>
      <c r="G287" s="58"/>
    </row>
    <row r="288" spans="2:8" x14ac:dyDescent="0.3">
      <c r="B288" s="58"/>
      <c r="C288" s="58"/>
      <c r="D288" s="58"/>
      <c r="G288" s="58"/>
    </row>
    <row r="289" spans="2:7" x14ac:dyDescent="0.3">
      <c r="B289" s="58"/>
      <c r="C289" s="58"/>
      <c r="D289" s="58"/>
      <c r="G289" s="58"/>
    </row>
    <row r="290" spans="2:7" x14ac:dyDescent="0.3">
      <c r="B290" s="58"/>
      <c r="C290" s="58"/>
      <c r="D290" s="58"/>
      <c r="G290" s="58"/>
    </row>
    <row r="291" spans="2:7" x14ac:dyDescent="0.3">
      <c r="B291" s="58"/>
      <c r="C291" s="58"/>
      <c r="D291" s="58"/>
      <c r="G291" s="58"/>
    </row>
    <row r="292" spans="2:7" x14ac:dyDescent="0.3">
      <c r="B292" s="58"/>
      <c r="C292" s="58"/>
      <c r="D292" s="58"/>
      <c r="G292" s="58"/>
    </row>
    <row r="293" spans="2:7" x14ac:dyDescent="0.3">
      <c r="B293" s="58"/>
      <c r="C293" s="58"/>
      <c r="D293" s="58"/>
      <c r="G293" s="58"/>
    </row>
    <row r="294" spans="2:7" x14ac:dyDescent="0.3">
      <c r="C294" s="57" t="str">
        <f t="shared" ref="C294:C352" si="6">IF(ISBLANK(B294),"",PROPER(TEXT(B294,"MMMM")))</f>
        <v/>
      </c>
    </row>
    <row r="295" spans="2:7" x14ac:dyDescent="0.3">
      <c r="C295" s="57" t="str">
        <f t="shared" si="6"/>
        <v/>
      </c>
    </row>
    <row r="296" spans="2:7" x14ac:dyDescent="0.3">
      <c r="C296" s="57" t="str">
        <f t="shared" si="6"/>
        <v/>
      </c>
    </row>
    <row r="297" spans="2:7" x14ac:dyDescent="0.3">
      <c r="C297" s="57" t="str">
        <f t="shared" si="6"/>
        <v/>
      </c>
    </row>
    <row r="298" spans="2:7" x14ac:dyDescent="0.3">
      <c r="C298" s="57" t="str">
        <f t="shared" si="6"/>
        <v/>
      </c>
    </row>
    <row r="299" spans="2:7" x14ac:dyDescent="0.3">
      <c r="C299" s="57" t="str">
        <f t="shared" si="6"/>
        <v/>
      </c>
    </row>
    <row r="300" spans="2:7" x14ac:dyDescent="0.3">
      <c r="C300" s="57" t="str">
        <f t="shared" si="6"/>
        <v/>
      </c>
    </row>
    <row r="301" spans="2:7" x14ac:dyDescent="0.3">
      <c r="C301" s="57" t="str">
        <f t="shared" si="6"/>
        <v/>
      </c>
    </row>
    <row r="302" spans="2:7" x14ac:dyDescent="0.3">
      <c r="C302" s="57" t="str">
        <f t="shared" si="6"/>
        <v/>
      </c>
    </row>
    <row r="303" spans="2:7" x14ac:dyDescent="0.3">
      <c r="C303" s="57" t="str">
        <f t="shared" si="6"/>
        <v/>
      </c>
    </row>
    <row r="304" spans="2:7" x14ac:dyDescent="0.3">
      <c r="C304" s="57" t="str">
        <f t="shared" si="6"/>
        <v/>
      </c>
    </row>
    <row r="305" spans="3:3" x14ac:dyDescent="0.3">
      <c r="C305" s="57" t="str">
        <f t="shared" si="6"/>
        <v/>
      </c>
    </row>
    <row r="306" spans="3:3" x14ac:dyDescent="0.3">
      <c r="C306" s="57" t="str">
        <f t="shared" si="6"/>
        <v/>
      </c>
    </row>
    <row r="307" spans="3:3" x14ac:dyDescent="0.3">
      <c r="C307" s="57" t="str">
        <f t="shared" si="6"/>
        <v/>
      </c>
    </row>
    <row r="308" spans="3:3" x14ac:dyDescent="0.3">
      <c r="C308" s="57" t="str">
        <f t="shared" si="6"/>
        <v/>
      </c>
    </row>
    <row r="309" spans="3:3" x14ac:dyDescent="0.3">
      <c r="C309" s="57" t="str">
        <f t="shared" si="6"/>
        <v/>
      </c>
    </row>
    <row r="310" spans="3:3" x14ac:dyDescent="0.3">
      <c r="C310" s="57" t="str">
        <f t="shared" si="6"/>
        <v/>
      </c>
    </row>
    <row r="311" spans="3:3" x14ac:dyDescent="0.3">
      <c r="C311" s="57" t="str">
        <f t="shared" si="6"/>
        <v/>
      </c>
    </row>
    <row r="312" spans="3:3" x14ac:dyDescent="0.3">
      <c r="C312" s="57" t="str">
        <f t="shared" si="6"/>
        <v/>
      </c>
    </row>
    <row r="313" spans="3:3" x14ac:dyDescent="0.3">
      <c r="C313" s="57" t="str">
        <f t="shared" si="6"/>
        <v/>
      </c>
    </row>
    <row r="314" spans="3:3" x14ac:dyDescent="0.3">
      <c r="C314" s="57" t="str">
        <f t="shared" si="6"/>
        <v/>
      </c>
    </row>
    <row r="315" spans="3:3" x14ac:dyDescent="0.3">
      <c r="C315" s="57" t="str">
        <f t="shared" si="6"/>
        <v/>
      </c>
    </row>
    <row r="316" spans="3:3" x14ac:dyDescent="0.3">
      <c r="C316" s="57" t="str">
        <f t="shared" si="6"/>
        <v/>
      </c>
    </row>
    <row r="317" spans="3:3" x14ac:dyDescent="0.3">
      <c r="C317" s="57" t="str">
        <f t="shared" si="6"/>
        <v/>
      </c>
    </row>
    <row r="318" spans="3:3" x14ac:dyDescent="0.3">
      <c r="C318" s="57" t="str">
        <f t="shared" si="6"/>
        <v/>
      </c>
    </row>
    <row r="319" spans="3:3" x14ac:dyDescent="0.3">
      <c r="C319" s="57" t="str">
        <f t="shared" si="6"/>
        <v/>
      </c>
    </row>
    <row r="320" spans="3:3" x14ac:dyDescent="0.3">
      <c r="C320" s="57" t="str">
        <f t="shared" si="6"/>
        <v/>
      </c>
    </row>
    <row r="321" spans="3:3" x14ac:dyDescent="0.3">
      <c r="C321" s="57" t="str">
        <f t="shared" si="6"/>
        <v/>
      </c>
    </row>
    <row r="322" spans="3:3" x14ac:dyDescent="0.3">
      <c r="C322" s="57" t="str">
        <f t="shared" si="6"/>
        <v/>
      </c>
    </row>
    <row r="323" spans="3:3" x14ac:dyDescent="0.3">
      <c r="C323" s="57" t="str">
        <f t="shared" si="6"/>
        <v/>
      </c>
    </row>
    <row r="324" spans="3:3" x14ac:dyDescent="0.3">
      <c r="C324" s="57" t="str">
        <f t="shared" si="6"/>
        <v/>
      </c>
    </row>
    <row r="325" spans="3:3" x14ac:dyDescent="0.3">
      <c r="C325" s="57" t="str">
        <f t="shared" si="6"/>
        <v/>
      </c>
    </row>
    <row r="326" spans="3:3" x14ac:dyDescent="0.3">
      <c r="C326" s="57" t="str">
        <f t="shared" si="6"/>
        <v/>
      </c>
    </row>
    <row r="327" spans="3:3" x14ac:dyDescent="0.3">
      <c r="C327" s="57" t="str">
        <f t="shared" si="6"/>
        <v/>
      </c>
    </row>
    <row r="328" spans="3:3" x14ac:dyDescent="0.3">
      <c r="C328" s="57" t="str">
        <f t="shared" si="6"/>
        <v/>
      </c>
    </row>
    <row r="329" spans="3:3" x14ac:dyDescent="0.3">
      <c r="C329" s="57" t="str">
        <f t="shared" si="6"/>
        <v/>
      </c>
    </row>
    <row r="330" spans="3:3" x14ac:dyDescent="0.3">
      <c r="C330" s="57" t="str">
        <f t="shared" si="6"/>
        <v/>
      </c>
    </row>
    <row r="331" spans="3:3" x14ac:dyDescent="0.3">
      <c r="C331" s="57" t="str">
        <f t="shared" si="6"/>
        <v/>
      </c>
    </row>
    <row r="332" spans="3:3" x14ac:dyDescent="0.3">
      <c r="C332" s="57" t="str">
        <f t="shared" si="6"/>
        <v/>
      </c>
    </row>
    <row r="333" spans="3:3" x14ac:dyDescent="0.3">
      <c r="C333" s="57" t="str">
        <f t="shared" si="6"/>
        <v/>
      </c>
    </row>
    <row r="334" spans="3:3" x14ac:dyDescent="0.3">
      <c r="C334" s="57" t="str">
        <f t="shared" si="6"/>
        <v/>
      </c>
    </row>
    <row r="335" spans="3:3" x14ac:dyDescent="0.3">
      <c r="C335" s="57" t="str">
        <f t="shared" si="6"/>
        <v/>
      </c>
    </row>
    <row r="336" spans="3:3" x14ac:dyDescent="0.3">
      <c r="C336" s="57" t="str">
        <f t="shared" si="6"/>
        <v/>
      </c>
    </row>
    <row r="337" spans="3:3" x14ac:dyDescent="0.3">
      <c r="C337" s="57" t="str">
        <f t="shared" si="6"/>
        <v/>
      </c>
    </row>
    <row r="338" spans="3:3" x14ac:dyDescent="0.3">
      <c r="C338" s="57" t="str">
        <f t="shared" si="6"/>
        <v/>
      </c>
    </row>
    <row r="339" spans="3:3" x14ac:dyDescent="0.3">
      <c r="C339" s="57" t="str">
        <f t="shared" si="6"/>
        <v/>
      </c>
    </row>
    <row r="340" spans="3:3" x14ac:dyDescent="0.3">
      <c r="C340" s="57" t="str">
        <f t="shared" si="6"/>
        <v/>
      </c>
    </row>
    <row r="341" spans="3:3" x14ac:dyDescent="0.3">
      <c r="C341" s="57" t="str">
        <f t="shared" si="6"/>
        <v/>
      </c>
    </row>
    <row r="342" spans="3:3" x14ac:dyDescent="0.3">
      <c r="C342" s="57" t="str">
        <f t="shared" si="6"/>
        <v/>
      </c>
    </row>
    <row r="343" spans="3:3" x14ac:dyDescent="0.3">
      <c r="C343" s="57" t="str">
        <f t="shared" si="6"/>
        <v/>
      </c>
    </row>
    <row r="344" spans="3:3" x14ac:dyDescent="0.3">
      <c r="C344" s="57" t="str">
        <f t="shared" si="6"/>
        <v/>
      </c>
    </row>
    <row r="345" spans="3:3" x14ac:dyDescent="0.3">
      <c r="C345" s="57" t="str">
        <f t="shared" si="6"/>
        <v/>
      </c>
    </row>
    <row r="346" spans="3:3" x14ac:dyDescent="0.3">
      <c r="C346" s="57" t="str">
        <f t="shared" si="6"/>
        <v/>
      </c>
    </row>
    <row r="347" spans="3:3" x14ac:dyDescent="0.3">
      <c r="C347" s="57" t="str">
        <f t="shared" si="6"/>
        <v/>
      </c>
    </row>
    <row r="348" spans="3:3" x14ac:dyDescent="0.3">
      <c r="C348" s="57" t="str">
        <f t="shared" si="6"/>
        <v/>
      </c>
    </row>
    <row r="349" spans="3:3" x14ac:dyDescent="0.3">
      <c r="C349" s="57" t="str">
        <f t="shared" si="6"/>
        <v/>
      </c>
    </row>
    <row r="350" spans="3:3" x14ac:dyDescent="0.3">
      <c r="C350" s="57" t="str">
        <f t="shared" si="6"/>
        <v/>
      </c>
    </row>
    <row r="351" spans="3:3" x14ac:dyDescent="0.3">
      <c r="C351" s="57" t="str">
        <f t="shared" si="6"/>
        <v/>
      </c>
    </row>
    <row r="352" spans="3:3" x14ac:dyDescent="0.3">
      <c r="C352" s="57" t="str">
        <f t="shared" si="6"/>
        <v/>
      </c>
    </row>
    <row r="353" spans="3:3" x14ac:dyDescent="0.3">
      <c r="C353" s="57" t="str">
        <f t="shared" ref="C353:C416" si="7">IF(ISBLANK(B353),"",PROPER(TEXT(B353,"MMMM")))</f>
        <v/>
      </c>
    </row>
    <row r="354" spans="3:3" x14ac:dyDescent="0.3">
      <c r="C354" s="57" t="str">
        <f t="shared" si="7"/>
        <v/>
      </c>
    </row>
    <row r="355" spans="3:3" x14ac:dyDescent="0.3">
      <c r="C355" s="57" t="str">
        <f t="shared" si="7"/>
        <v/>
      </c>
    </row>
    <row r="356" spans="3:3" x14ac:dyDescent="0.3">
      <c r="C356" s="57" t="str">
        <f t="shared" si="7"/>
        <v/>
      </c>
    </row>
    <row r="357" spans="3:3" x14ac:dyDescent="0.3">
      <c r="C357" s="57" t="str">
        <f t="shared" si="7"/>
        <v/>
      </c>
    </row>
    <row r="358" spans="3:3" x14ac:dyDescent="0.3">
      <c r="C358" s="57" t="str">
        <f t="shared" si="7"/>
        <v/>
      </c>
    </row>
    <row r="359" spans="3:3" x14ac:dyDescent="0.3">
      <c r="C359" s="57" t="str">
        <f t="shared" si="7"/>
        <v/>
      </c>
    </row>
    <row r="360" spans="3:3" x14ac:dyDescent="0.3">
      <c r="C360" s="57" t="str">
        <f t="shared" si="7"/>
        <v/>
      </c>
    </row>
    <row r="361" spans="3:3" x14ac:dyDescent="0.3">
      <c r="C361" s="57" t="str">
        <f t="shared" si="7"/>
        <v/>
      </c>
    </row>
    <row r="362" spans="3:3" x14ac:dyDescent="0.3">
      <c r="C362" s="57" t="str">
        <f t="shared" si="7"/>
        <v/>
      </c>
    </row>
    <row r="363" spans="3:3" x14ac:dyDescent="0.3">
      <c r="C363" s="57" t="str">
        <f t="shared" si="7"/>
        <v/>
      </c>
    </row>
    <row r="364" spans="3:3" x14ac:dyDescent="0.3">
      <c r="C364" s="57" t="str">
        <f t="shared" si="7"/>
        <v/>
      </c>
    </row>
    <row r="365" spans="3:3" x14ac:dyDescent="0.3">
      <c r="C365" s="57" t="str">
        <f t="shared" si="7"/>
        <v/>
      </c>
    </row>
    <row r="366" spans="3:3" x14ac:dyDescent="0.3">
      <c r="C366" s="57" t="str">
        <f t="shared" si="7"/>
        <v/>
      </c>
    </row>
    <row r="367" spans="3:3" x14ac:dyDescent="0.3">
      <c r="C367" s="57" t="str">
        <f t="shared" si="7"/>
        <v/>
      </c>
    </row>
    <row r="368" spans="3:3" x14ac:dyDescent="0.3">
      <c r="C368" s="57" t="str">
        <f t="shared" si="7"/>
        <v/>
      </c>
    </row>
    <row r="369" spans="3:3" x14ac:dyDescent="0.3">
      <c r="C369" s="57" t="str">
        <f t="shared" si="7"/>
        <v/>
      </c>
    </row>
    <row r="370" spans="3:3" x14ac:dyDescent="0.3">
      <c r="C370" s="57" t="str">
        <f t="shared" si="7"/>
        <v/>
      </c>
    </row>
    <row r="371" spans="3:3" x14ac:dyDescent="0.3">
      <c r="C371" s="57" t="str">
        <f t="shared" si="7"/>
        <v/>
      </c>
    </row>
    <row r="372" spans="3:3" x14ac:dyDescent="0.3">
      <c r="C372" s="57" t="str">
        <f t="shared" si="7"/>
        <v/>
      </c>
    </row>
    <row r="373" spans="3:3" x14ac:dyDescent="0.3">
      <c r="C373" s="57" t="str">
        <f t="shared" si="7"/>
        <v/>
      </c>
    </row>
    <row r="374" spans="3:3" x14ac:dyDescent="0.3">
      <c r="C374" s="57" t="str">
        <f t="shared" si="7"/>
        <v/>
      </c>
    </row>
    <row r="375" spans="3:3" x14ac:dyDescent="0.3">
      <c r="C375" s="57" t="str">
        <f t="shared" si="7"/>
        <v/>
      </c>
    </row>
    <row r="376" spans="3:3" x14ac:dyDescent="0.3">
      <c r="C376" s="57" t="str">
        <f t="shared" si="7"/>
        <v/>
      </c>
    </row>
    <row r="377" spans="3:3" x14ac:dyDescent="0.3">
      <c r="C377" s="57" t="str">
        <f t="shared" si="7"/>
        <v/>
      </c>
    </row>
    <row r="378" spans="3:3" x14ac:dyDescent="0.3">
      <c r="C378" s="57" t="str">
        <f t="shared" si="7"/>
        <v/>
      </c>
    </row>
    <row r="379" spans="3:3" x14ac:dyDescent="0.3">
      <c r="C379" s="57" t="str">
        <f t="shared" si="7"/>
        <v/>
      </c>
    </row>
    <row r="380" spans="3:3" x14ac:dyDescent="0.3">
      <c r="C380" s="57" t="str">
        <f t="shared" si="7"/>
        <v/>
      </c>
    </row>
    <row r="381" spans="3:3" x14ac:dyDescent="0.3">
      <c r="C381" s="57" t="str">
        <f t="shared" si="7"/>
        <v/>
      </c>
    </row>
    <row r="382" spans="3:3" x14ac:dyDescent="0.3">
      <c r="C382" s="57" t="str">
        <f t="shared" si="7"/>
        <v/>
      </c>
    </row>
    <row r="383" spans="3:3" x14ac:dyDescent="0.3">
      <c r="C383" s="57" t="str">
        <f t="shared" si="7"/>
        <v/>
      </c>
    </row>
    <row r="384" spans="3:3" x14ac:dyDescent="0.3">
      <c r="C384" s="57" t="str">
        <f t="shared" si="7"/>
        <v/>
      </c>
    </row>
    <row r="385" spans="3:3" x14ac:dyDescent="0.3">
      <c r="C385" s="57" t="str">
        <f t="shared" si="7"/>
        <v/>
      </c>
    </row>
    <row r="386" spans="3:3" x14ac:dyDescent="0.3">
      <c r="C386" s="57" t="str">
        <f t="shared" si="7"/>
        <v/>
      </c>
    </row>
    <row r="387" spans="3:3" x14ac:dyDescent="0.3">
      <c r="C387" s="57" t="str">
        <f t="shared" si="7"/>
        <v/>
      </c>
    </row>
    <row r="388" spans="3:3" x14ac:dyDescent="0.3">
      <c r="C388" s="57" t="str">
        <f t="shared" si="7"/>
        <v/>
      </c>
    </row>
    <row r="389" spans="3:3" x14ac:dyDescent="0.3">
      <c r="C389" s="57" t="str">
        <f t="shared" si="7"/>
        <v/>
      </c>
    </row>
    <row r="390" spans="3:3" x14ac:dyDescent="0.3">
      <c r="C390" s="57" t="str">
        <f t="shared" si="7"/>
        <v/>
      </c>
    </row>
    <row r="391" spans="3:3" x14ac:dyDescent="0.3">
      <c r="C391" s="57" t="str">
        <f t="shared" si="7"/>
        <v/>
      </c>
    </row>
    <row r="392" spans="3:3" x14ac:dyDescent="0.3">
      <c r="C392" s="57" t="str">
        <f t="shared" si="7"/>
        <v/>
      </c>
    </row>
    <row r="393" spans="3:3" x14ac:dyDescent="0.3">
      <c r="C393" s="57" t="str">
        <f t="shared" si="7"/>
        <v/>
      </c>
    </row>
    <row r="394" spans="3:3" x14ac:dyDescent="0.3">
      <c r="C394" s="57" t="str">
        <f t="shared" si="7"/>
        <v/>
      </c>
    </row>
    <row r="395" spans="3:3" x14ac:dyDescent="0.3">
      <c r="C395" s="57" t="str">
        <f t="shared" si="7"/>
        <v/>
      </c>
    </row>
    <row r="396" spans="3:3" x14ac:dyDescent="0.3">
      <c r="C396" s="57" t="str">
        <f t="shared" si="7"/>
        <v/>
      </c>
    </row>
    <row r="397" spans="3:3" x14ac:dyDescent="0.3">
      <c r="C397" s="57" t="str">
        <f t="shared" si="7"/>
        <v/>
      </c>
    </row>
    <row r="398" spans="3:3" x14ac:dyDescent="0.3">
      <c r="C398" s="57" t="str">
        <f t="shared" si="7"/>
        <v/>
      </c>
    </row>
    <row r="399" spans="3:3" x14ac:dyDescent="0.3">
      <c r="C399" s="57" t="str">
        <f t="shared" si="7"/>
        <v/>
      </c>
    </row>
    <row r="400" spans="3:3" x14ac:dyDescent="0.3">
      <c r="C400" s="57" t="str">
        <f t="shared" si="7"/>
        <v/>
      </c>
    </row>
    <row r="401" spans="3:3" x14ac:dyDescent="0.3">
      <c r="C401" s="57" t="str">
        <f t="shared" si="7"/>
        <v/>
      </c>
    </row>
    <row r="402" spans="3:3" x14ac:dyDescent="0.3">
      <c r="C402" s="57" t="str">
        <f t="shared" si="7"/>
        <v/>
      </c>
    </row>
    <row r="403" spans="3:3" x14ac:dyDescent="0.3">
      <c r="C403" s="57" t="str">
        <f t="shared" si="7"/>
        <v/>
      </c>
    </row>
    <row r="404" spans="3:3" x14ac:dyDescent="0.3">
      <c r="C404" s="57" t="str">
        <f t="shared" si="7"/>
        <v/>
      </c>
    </row>
    <row r="405" spans="3:3" x14ac:dyDescent="0.3">
      <c r="C405" s="57" t="str">
        <f t="shared" si="7"/>
        <v/>
      </c>
    </row>
    <row r="406" spans="3:3" x14ac:dyDescent="0.3">
      <c r="C406" s="57" t="str">
        <f t="shared" si="7"/>
        <v/>
      </c>
    </row>
    <row r="407" spans="3:3" x14ac:dyDescent="0.3">
      <c r="C407" s="57" t="str">
        <f t="shared" si="7"/>
        <v/>
      </c>
    </row>
    <row r="408" spans="3:3" x14ac:dyDescent="0.3">
      <c r="C408" s="57" t="str">
        <f t="shared" si="7"/>
        <v/>
      </c>
    </row>
    <row r="409" spans="3:3" x14ac:dyDescent="0.3">
      <c r="C409" s="57" t="str">
        <f t="shared" si="7"/>
        <v/>
      </c>
    </row>
    <row r="410" spans="3:3" x14ac:dyDescent="0.3">
      <c r="C410" s="57" t="str">
        <f t="shared" si="7"/>
        <v/>
      </c>
    </row>
    <row r="411" spans="3:3" x14ac:dyDescent="0.3">
      <c r="C411" s="57" t="str">
        <f t="shared" si="7"/>
        <v/>
      </c>
    </row>
    <row r="412" spans="3:3" x14ac:dyDescent="0.3">
      <c r="C412" s="57" t="str">
        <f t="shared" si="7"/>
        <v/>
      </c>
    </row>
    <row r="413" spans="3:3" x14ac:dyDescent="0.3">
      <c r="C413" s="57" t="str">
        <f t="shared" si="7"/>
        <v/>
      </c>
    </row>
    <row r="414" spans="3:3" x14ac:dyDescent="0.3">
      <c r="C414" s="57" t="str">
        <f t="shared" si="7"/>
        <v/>
      </c>
    </row>
    <row r="415" spans="3:3" x14ac:dyDescent="0.3">
      <c r="C415" s="57" t="str">
        <f t="shared" si="7"/>
        <v/>
      </c>
    </row>
    <row r="416" spans="3:3" x14ac:dyDescent="0.3">
      <c r="C416" s="57" t="str">
        <f t="shared" si="7"/>
        <v/>
      </c>
    </row>
    <row r="417" spans="3:3" x14ac:dyDescent="0.3">
      <c r="C417" s="57" t="str">
        <f t="shared" ref="C417:C480" si="8">IF(ISBLANK(B417),"",PROPER(TEXT(B417,"MMMM")))</f>
        <v/>
      </c>
    </row>
    <row r="418" spans="3:3" x14ac:dyDescent="0.3">
      <c r="C418" s="57" t="str">
        <f t="shared" si="8"/>
        <v/>
      </c>
    </row>
    <row r="419" spans="3:3" x14ac:dyDescent="0.3">
      <c r="C419" s="57" t="str">
        <f t="shared" si="8"/>
        <v/>
      </c>
    </row>
    <row r="420" spans="3:3" x14ac:dyDescent="0.3">
      <c r="C420" s="57" t="str">
        <f t="shared" si="8"/>
        <v/>
      </c>
    </row>
    <row r="421" spans="3:3" x14ac:dyDescent="0.3">
      <c r="C421" s="57" t="str">
        <f t="shared" si="8"/>
        <v/>
      </c>
    </row>
    <row r="422" spans="3:3" x14ac:dyDescent="0.3">
      <c r="C422" s="57" t="str">
        <f t="shared" si="8"/>
        <v/>
      </c>
    </row>
    <row r="423" spans="3:3" x14ac:dyDescent="0.3">
      <c r="C423" s="57" t="str">
        <f t="shared" si="8"/>
        <v/>
      </c>
    </row>
    <row r="424" spans="3:3" x14ac:dyDescent="0.3">
      <c r="C424" s="57" t="str">
        <f t="shared" si="8"/>
        <v/>
      </c>
    </row>
    <row r="425" spans="3:3" x14ac:dyDescent="0.3">
      <c r="C425" s="57" t="str">
        <f t="shared" si="8"/>
        <v/>
      </c>
    </row>
    <row r="426" spans="3:3" x14ac:dyDescent="0.3">
      <c r="C426" s="57" t="str">
        <f t="shared" si="8"/>
        <v/>
      </c>
    </row>
    <row r="427" spans="3:3" x14ac:dyDescent="0.3">
      <c r="C427" s="57" t="str">
        <f t="shared" si="8"/>
        <v/>
      </c>
    </row>
    <row r="428" spans="3:3" x14ac:dyDescent="0.3">
      <c r="C428" s="57" t="str">
        <f t="shared" si="8"/>
        <v/>
      </c>
    </row>
    <row r="429" spans="3:3" x14ac:dyDescent="0.3">
      <c r="C429" s="57" t="str">
        <f t="shared" si="8"/>
        <v/>
      </c>
    </row>
    <row r="430" spans="3:3" x14ac:dyDescent="0.3">
      <c r="C430" s="57" t="str">
        <f t="shared" si="8"/>
        <v/>
      </c>
    </row>
    <row r="431" spans="3:3" x14ac:dyDescent="0.3">
      <c r="C431" s="57" t="str">
        <f t="shared" si="8"/>
        <v/>
      </c>
    </row>
    <row r="432" spans="3:3" x14ac:dyDescent="0.3">
      <c r="C432" s="57" t="str">
        <f t="shared" si="8"/>
        <v/>
      </c>
    </row>
    <row r="433" spans="3:3" x14ac:dyDescent="0.3">
      <c r="C433" s="57" t="str">
        <f t="shared" si="8"/>
        <v/>
      </c>
    </row>
    <row r="434" spans="3:3" x14ac:dyDescent="0.3">
      <c r="C434" s="57" t="str">
        <f t="shared" si="8"/>
        <v/>
      </c>
    </row>
    <row r="435" spans="3:3" x14ac:dyDescent="0.3">
      <c r="C435" s="57" t="str">
        <f t="shared" si="8"/>
        <v/>
      </c>
    </row>
    <row r="436" spans="3:3" x14ac:dyDescent="0.3">
      <c r="C436" s="57" t="str">
        <f t="shared" si="8"/>
        <v/>
      </c>
    </row>
    <row r="437" spans="3:3" x14ac:dyDescent="0.3">
      <c r="C437" s="57" t="str">
        <f t="shared" si="8"/>
        <v/>
      </c>
    </row>
    <row r="438" spans="3:3" x14ac:dyDescent="0.3">
      <c r="C438" s="57" t="str">
        <f t="shared" si="8"/>
        <v/>
      </c>
    </row>
    <row r="439" spans="3:3" x14ac:dyDescent="0.3">
      <c r="C439" s="57" t="str">
        <f t="shared" si="8"/>
        <v/>
      </c>
    </row>
    <row r="440" spans="3:3" x14ac:dyDescent="0.3">
      <c r="C440" s="57" t="str">
        <f t="shared" si="8"/>
        <v/>
      </c>
    </row>
    <row r="441" spans="3:3" x14ac:dyDescent="0.3">
      <c r="C441" s="57" t="str">
        <f t="shared" si="8"/>
        <v/>
      </c>
    </row>
    <row r="442" spans="3:3" x14ac:dyDescent="0.3">
      <c r="C442" s="57" t="str">
        <f t="shared" si="8"/>
        <v/>
      </c>
    </row>
    <row r="443" spans="3:3" x14ac:dyDescent="0.3">
      <c r="C443" s="57" t="str">
        <f t="shared" si="8"/>
        <v/>
      </c>
    </row>
    <row r="444" spans="3:3" x14ac:dyDescent="0.3">
      <c r="C444" s="57" t="str">
        <f t="shared" si="8"/>
        <v/>
      </c>
    </row>
    <row r="445" spans="3:3" x14ac:dyDescent="0.3">
      <c r="C445" s="57" t="str">
        <f t="shared" si="8"/>
        <v/>
      </c>
    </row>
    <row r="446" spans="3:3" x14ac:dyDescent="0.3">
      <c r="C446" s="57" t="str">
        <f t="shared" si="8"/>
        <v/>
      </c>
    </row>
    <row r="447" spans="3:3" x14ac:dyDescent="0.3">
      <c r="C447" s="57" t="str">
        <f t="shared" si="8"/>
        <v/>
      </c>
    </row>
    <row r="448" spans="3:3" x14ac:dyDescent="0.3">
      <c r="C448" s="57" t="str">
        <f t="shared" si="8"/>
        <v/>
      </c>
    </row>
    <row r="449" spans="3:3" x14ac:dyDescent="0.3">
      <c r="C449" s="57" t="str">
        <f t="shared" si="8"/>
        <v/>
      </c>
    </row>
    <row r="450" spans="3:3" x14ac:dyDescent="0.3">
      <c r="C450" s="57" t="str">
        <f t="shared" si="8"/>
        <v/>
      </c>
    </row>
    <row r="451" spans="3:3" x14ac:dyDescent="0.3">
      <c r="C451" s="57" t="str">
        <f t="shared" si="8"/>
        <v/>
      </c>
    </row>
    <row r="452" spans="3:3" x14ac:dyDescent="0.3">
      <c r="C452" s="57" t="str">
        <f t="shared" si="8"/>
        <v/>
      </c>
    </row>
    <row r="453" spans="3:3" x14ac:dyDescent="0.3">
      <c r="C453" s="57" t="str">
        <f t="shared" si="8"/>
        <v/>
      </c>
    </row>
    <row r="454" spans="3:3" x14ac:dyDescent="0.3">
      <c r="C454" s="57" t="str">
        <f t="shared" si="8"/>
        <v/>
      </c>
    </row>
    <row r="455" spans="3:3" x14ac:dyDescent="0.3">
      <c r="C455" s="57" t="str">
        <f t="shared" si="8"/>
        <v/>
      </c>
    </row>
    <row r="456" spans="3:3" x14ac:dyDescent="0.3">
      <c r="C456" s="57" t="str">
        <f t="shared" si="8"/>
        <v/>
      </c>
    </row>
    <row r="457" spans="3:3" x14ac:dyDescent="0.3">
      <c r="C457" s="57" t="str">
        <f t="shared" si="8"/>
        <v/>
      </c>
    </row>
    <row r="458" spans="3:3" x14ac:dyDescent="0.3">
      <c r="C458" s="57" t="str">
        <f t="shared" si="8"/>
        <v/>
      </c>
    </row>
    <row r="459" spans="3:3" x14ac:dyDescent="0.3">
      <c r="C459" s="57" t="str">
        <f t="shared" si="8"/>
        <v/>
      </c>
    </row>
    <row r="460" spans="3:3" x14ac:dyDescent="0.3">
      <c r="C460" s="57" t="str">
        <f t="shared" si="8"/>
        <v/>
      </c>
    </row>
    <row r="461" spans="3:3" x14ac:dyDescent="0.3">
      <c r="C461" s="57" t="str">
        <f t="shared" si="8"/>
        <v/>
      </c>
    </row>
    <row r="462" spans="3:3" x14ac:dyDescent="0.3">
      <c r="C462" s="57" t="str">
        <f t="shared" si="8"/>
        <v/>
      </c>
    </row>
    <row r="463" spans="3:3" x14ac:dyDescent="0.3">
      <c r="C463" s="57" t="str">
        <f t="shared" si="8"/>
        <v/>
      </c>
    </row>
    <row r="464" spans="3:3" x14ac:dyDescent="0.3">
      <c r="C464" s="57" t="str">
        <f t="shared" si="8"/>
        <v/>
      </c>
    </row>
    <row r="465" spans="3:3" x14ac:dyDescent="0.3">
      <c r="C465" s="57" t="str">
        <f t="shared" si="8"/>
        <v/>
      </c>
    </row>
    <row r="466" spans="3:3" x14ac:dyDescent="0.3">
      <c r="C466" s="57" t="str">
        <f t="shared" si="8"/>
        <v/>
      </c>
    </row>
    <row r="467" spans="3:3" x14ac:dyDescent="0.3">
      <c r="C467" s="57" t="str">
        <f t="shared" si="8"/>
        <v/>
      </c>
    </row>
    <row r="468" spans="3:3" x14ac:dyDescent="0.3">
      <c r="C468" s="57" t="str">
        <f t="shared" si="8"/>
        <v/>
      </c>
    </row>
    <row r="469" spans="3:3" x14ac:dyDescent="0.3">
      <c r="C469" s="57" t="str">
        <f t="shared" si="8"/>
        <v/>
      </c>
    </row>
    <row r="470" spans="3:3" x14ac:dyDescent="0.3">
      <c r="C470" s="57" t="str">
        <f t="shared" si="8"/>
        <v/>
      </c>
    </row>
    <row r="471" spans="3:3" x14ac:dyDescent="0.3">
      <c r="C471" s="57" t="str">
        <f t="shared" si="8"/>
        <v/>
      </c>
    </row>
    <row r="472" spans="3:3" x14ac:dyDescent="0.3">
      <c r="C472" s="57" t="str">
        <f t="shared" si="8"/>
        <v/>
      </c>
    </row>
    <row r="473" spans="3:3" x14ac:dyDescent="0.3">
      <c r="C473" s="57" t="str">
        <f t="shared" si="8"/>
        <v/>
      </c>
    </row>
    <row r="474" spans="3:3" x14ac:dyDescent="0.3">
      <c r="C474" s="57" t="str">
        <f t="shared" si="8"/>
        <v/>
      </c>
    </row>
    <row r="475" spans="3:3" x14ac:dyDescent="0.3">
      <c r="C475" s="57" t="str">
        <f t="shared" si="8"/>
        <v/>
      </c>
    </row>
    <row r="476" spans="3:3" x14ac:dyDescent="0.3">
      <c r="C476" s="57" t="str">
        <f t="shared" si="8"/>
        <v/>
      </c>
    </row>
    <row r="477" spans="3:3" x14ac:dyDescent="0.3">
      <c r="C477" s="57" t="str">
        <f t="shared" si="8"/>
        <v/>
      </c>
    </row>
    <row r="478" spans="3:3" x14ac:dyDescent="0.3">
      <c r="C478" s="57" t="str">
        <f t="shared" si="8"/>
        <v/>
      </c>
    </row>
    <row r="479" spans="3:3" x14ac:dyDescent="0.3">
      <c r="C479" s="57" t="str">
        <f t="shared" si="8"/>
        <v/>
      </c>
    </row>
    <row r="480" spans="3:3" x14ac:dyDescent="0.3">
      <c r="C480" s="57" t="str">
        <f t="shared" si="8"/>
        <v/>
      </c>
    </row>
    <row r="481" spans="3:3" x14ac:dyDescent="0.3">
      <c r="C481" s="57" t="str">
        <f t="shared" ref="C481:C544" si="9">IF(ISBLANK(B481),"",PROPER(TEXT(B481,"MMMM")))</f>
        <v/>
      </c>
    </row>
    <row r="482" spans="3:3" x14ac:dyDescent="0.3">
      <c r="C482" s="57" t="str">
        <f t="shared" si="9"/>
        <v/>
      </c>
    </row>
    <row r="483" spans="3:3" x14ac:dyDescent="0.3">
      <c r="C483" s="57" t="str">
        <f t="shared" si="9"/>
        <v/>
      </c>
    </row>
    <row r="484" spans="3:3" x14ac:dyDescent="0.3">
      <c r="C484" s="57" t="str">
        <f t="shared" si="9"/>
        <v/>
      </c>
    </row>
    <row r="485" spans="3:3" x14ac:dyDescent="0.3">
      <c r="C485" s="57" t="str">
        <f t="shared" si="9"/>
        <v/>
      </c>
    </row>
    <row r="486" spans="3:3" x14ac:dyDescent="0.3">
      <c r="C486" s="57" t="str">
        <f t="shared" si="9"/>
        <v/>
      </c>
    </row>
    <row r="487" spans="3:3" x14ac:dyDescent="0.3">
      <c r="C487" s="57" t="str">
        <f t="shared" si="9"/>
        <v/>
      </c>
    </row>
    <row r="488" spans="3:3" x14ac:dyDescent="0.3">
      <c r="C488" s="57" t="str">
        <f t="shared" si="9"/>
        <v/>
      </c>
    </row>
    <row r="489" spans="3:3" x14ac:dyDescent="0.3">
      <c r="C489" s="57" t="str">
        <f t="shared" si="9"/>
        <v/>
      </c>
    </row>
    <row r="490" spans="3:3" x14ac:dyDescent="0.3">
      <c r="C490" s="57" t="str">
        <f t="shared" si="9"/>
        <v/>
      </c>
    </row>
    <row r="491" spans="3:3" x14ac:dyDescent="0.3">
      <c r="C491" s="57" t="str">
        <f t="shared" si="9"/>
        <v/>
      </c>
    </row>
    <row r="492" spans="3:3" x14ac:dyDescent="0.3">
      <c r="C492" s="57" t="str">
        <f t="shared" si="9"/>
        <v/>
      </c>
    </row>
    <row r="493" spans="3:3" x14ac:dyDescent="0.3">
      <c r="C493" s="57" t="str">
        <f t="shared" si="9"/>
        <v/>
      </c>
    </row>
    <row r="494" spans="3:3" x14ac:dyDescent="0.3">
      <c r="C494" s="57" t="str">
        <f t="shared" si="9"/>
        <v/>
      </c>
    </row>
    <row r="495" spans="3:3" x14ac:dyDescent="0.3">
      <c r="C495" s="57" t="str">
        <f t="shared" si="9"/>
        <v/>
      </c>
    </row>
    <row r="496" spans="3:3" x14ac:dyDescent="0.3">
      <c r="C496" s="57" t="str">
        <f t="shared" si="9"/>
        <v/>
      </c>
    </row>
    <row r="497" spans="3:3" x14ac:dyDescent="0.3">
      <c r="C497" s="57" t="str">
        <f t="shared" si="9"/>
        <v/>
      </c>
    </row>
    <row r="498" spans="3:3" x14ac:dyDescent="0.3">
      <c r="C498" s="57" t="str">
        <f t="shared" si="9"/>
        <v/>
      </c>
    </row>
    <row r="499" spans="3:3" x14ac:dyDescent="0.3">
      <c r="C499" s="57" t="str">
        <f t="shared" si="9"/>
        <v/>
      </c>
    </row>
    <row r="500" spans="3:3" x14ac:dyDescent="0.3">
      <c r="C500" s="57" t="str">
        <f t="shared" si="9"/>
        <v/>
      </c>
    </row>
    <row r="501" spans="3:3" x14ac:dyDescent="0.3">
      <c r="C501" s="57" t="str">
        <f t="shared" si="9"/>
        <v/>
      </c>
    </row>
    <row r="502" spans="3:3" x14ac:dyDescent="0.3">
      <c r="C502" s="57" t="str">
        <f t="shared" si="9"/>
        <v/>
      </c>
    </row>
    <row r="503" spans="3:3" x14ac:dyDescent="0.3">
      <c r="C503" s="57" t="str">
        <f t="shared" si="9"/>
        <v/>
      </c>
    </row>
    <row r="504" spans="3:3" x14ac:dyDescent="0.3">
      <c r="C504" s="57" t="str">
        <f t="shared" si="9"/>
        <v/>
      </c>
    </row>
    <row r="505" spans="3:3" x14ac:dyDescent="0.3">
      <c r="C505" s="57" t="str">
        <f t="shared" si="9"/>
        <v/>
      </c>
    </row>
    <row r="506" spans="3:3" x14ac:dyDescent="0.3">
      <c r="C506" s="57" t="str">
        <f t="shared" si="9"/>
        <v/>
      </c>
    </row>
    <row r="507" spans="3:3" x14ac:dyDescent="0.3">
      <c r="C507" s="57" t="str">
        <f t="shared" si="9"/>
        <v/>
      </c>
    </row>
    <row r="508" spans="3:3" x14ac:dyDescent="0.3">
      <c r="C508" s="57" t="str">
        <f t="shared" si="9"/>
        <v/>
      </c>
    </row>
    <row r="509" spans="3:3" x14ac:dyDescent="0.3">
      <c r="C509" s="57" t="str">
        <f t="shared" si="9"/>
        <v/>
      </c>
    </row>
    <row r="510" spans="3:3" x14ac:dyDescent="0.3">
      <c r="C510" s="57" t="str">
        <f t="shared" si="9"/>
        <v/>
      </c>
    </row>
    <row r="511" spans="3:3" x14ac:dyDescent="0.3">
      <c r="C511" s="57" t="str">
        <f t="shared" si="9"/>
        <v/>
      </c>
    </row>
    <row r="512" spans="3:3" x14ac:dyDescent="0.3">
      <c r="C512" s="57" t="str">
        <f t="shared" si="9"/>
        <v/>
      </c>
    </row>
    <row r="513" spans="3:3" x14ac:dyDescent="0.3">
      <c r="C513" s="57" t="str">
        <f t="shared" si="9"/>
        <v/>
      </c>
    </row>
    <row r="514" spans="3:3" x14ac:dyDescent="0.3">
      <c r="C514" s="57" t="str">
        <f t="shared" si="9"/>
        <v/>
      </c>
    </row>
    <row r="515" spans="3:3" x14ac:dyDescent="0.3">
      <c r="C515" s="57" t="str">
        <f t="shared" si="9"/>
        <v/>
      </c>
    </row>
    <row r="516" spans="3:3" x14ac:dyDescent="0.3">
      <c r="C516" s="57" t="str">
        <f t="shared" si="9"/>
        <v/>
      </c>
    </row>
    <row r="517" spans="3:3" x14ac:dyDescent="0.3">
      <c r="C517" s="57" t="str">
        <f t="shared" si="9"/>
        <v/>
      </c>
    </row>
    <row r="518" spans="3:3" x14ac:dyDescent="0.3">
      <c r="C518" s="57" t="str">
        <f t="shared" si="9"/>
        <v/>
      </c>
    </row>
    <row r="519" spans="3:3" x14ac:dyDescent="0.3">
      <c r="C519" s="57" t="str">
        <f t="shared" si="9"/>
        <v/>
      </c>
    </row>
    <row r="520" spans="3:3" x14ac:dyDescent="0.3">
      <c r="C520" s="57" t="str">
        <f t="shared" si="9"/>
        <v/>
      </c>
    </row>
    <row r="521" spans="3:3" x14ac:dyDescent="0.3">
      <c r="C521" s="57" t="str">
        <f t="shared" si="9"/>
        <v/>
      </c>
    </row>
    <row r="522" spans="3:3" x14ac:dyDescent="0.3">
      <c r="C522" s="57" t="str">
        <f t="shared" si="9"/>
        <v/>
      </c>
    </row>
    <row r="523" spans="3:3" x14ac:dyDescent="0.3">
      <c r="C523" s="57" t="str">
        <f t="shared" si="9"/>
        <v/>
      </c>
    </row>
    <row r="524" spans="3:3" x14ac:dyDescent="0.3">
      <c r="C524" s="57" t="str">
        <f t="shared" si="9"/>
        <v/>
      </c>
    </row>
    <row r="525" spans="3:3" x14ac:dyDescent="0.3">
      <c r="C525" s="57" t="str">
        <f t="shared" si="9"/>
        <v/>
      </c>
    </row>
    <row r="526" spans="3:3" x14ac:dyDescent="0.3">
      <c r="C526" s="57" t="str">
        <f t="shared" si="9"/>
        <v/>
      </c>
    </row>
    <row r="527" spans="3:3" x14ac:dyDescent="0.3">
      <c r="C527" s="57" t="str">
        <f t="shared" si="9"/>
        <v/>
      </c>
    </row>
    <row r="528" spans="3:3" x14ac:dyDescent="0.3">
      <c r="C528" s="57" t="str">
        <f t="shared" si="9"/>
        <v/>
      </c>
    </row>
    <row r="529" spans="3:3" x14ac:dyDescent="0.3">
      <c r="C529" s="57" t="str">
        <f t="shared" si="9"/>
        <v/>
      </c>
    </row>
    <row r="530" spans="3:3" x14ac:dyDescent="0.3">
      <c r="C530" s="57" t="str">
        <f t="shared" si="9"/>
        <v/>
      </c>
    </row>
    <row r="531" spans="3:3" x14ac:dyDescent="0.3">
      <c r="C531" s="57" t="str">
        <f t="shared" si="9"/>
        <v/>
      </c>
    </row>
    <row r="532" spans="3:3" x14ac:dyDescent="0.3">
      <c r="C532" s="57" t="str">
        <f t="shared" si="9"/>
        <v/>
      </c>
    </row>
    <row r="533" spans="3:3" x14ac:dyDescent="0.3">
      <c r="C533" s="57" t="str">
        <f t="shared" si="9"/>
        <v/>
      </c>
    </row>
    <row r="534" spans="3:3" x14ac:dyDescent="0.3">
      <c r="C534" s="57" t="str">
        <f t="shared" si="9"/>
        <v/>
      </c>
    </row>
    <row r="535" spans="3:3" x14ac:dyDescent="0.3">
      <c r="C535" s="57" t="str">
        <f t="shared" si="9"/>
        <v/>
      </c>
    </row>
    <row r="536" spans="3:3" x14ac:dyDescent="0.3">
      <c r="C536" s="57" t="str">
        <f t="shared" si="9"/>
        <v/>
      </c>
    </row>
    <row r="537" spans="3:3" x14ac:dyDescent="0.3">
      <c r="C537" s="57" t="str">
        <f t="shared" si="9"/>
        <v/>
      </c>
    </row>
    <row r="538" spans="3:3" x14ac:dyDescent="0.3">
      <c r="C538" s="57" t="str">
        <f t="shared" si="9"/>
        <v/>
      </c>
    </row>
    <row r="539" spans="3:3" x14ac:dyDescent="0.3">
      <c r="C539" s="57" t="str">
        <f t="shared" si="9"/>
        <v/>
      </c>
    </row>
    <row r="540" spans="3:3" x14ac:dyDescent="0.3">
      <c r="C540" s="57" t="str">
        <f t="shared" si="9"/>
        <v/>
      </c>
    </row>
    <row r="541" spans="3:3" x14ac:dyDescent="0.3">
      <c r="C541" s="57" t="str">
        <f t="shared" si="9"/>
        <v/>
      </c>
    </row>
    <row r="542" spans="3:3" x14ac:dyDescent="0.3">
      <c r="C542" s="57" t="str">
        <f t="shared" si="9"/>
        <v/>
      </c>
    </row>
    <row r="543" spans="3:3" x14ac:dyDescent="0.3">
      <c r="C543" s="57" t="str">
        <f t="shared" si="9"/>
        <v/>
      </c>
    </row>
    <row r="544" spans="3:3" x14ac:dyDescent="0.3">
      <c r="C544" s="57" t="str">
        <f t="shared" si="9"/>
        <v/>
      </c>
    </row>
    <row r="545" spans="3:3" x14ac:dyDescent="0.3">
      <c r="C545" s="57" t="str">
        <f t="shared" ref="C545:C608" si="10">IF(ISBLANK(B545),"",PROPER(TEXT(B545,"MMMM")))</f>
        <v/>
      </c>
    </row>
    <row r="546" spans="3:3" x14ac:dyDescent="0.3">
      <c r="C546" s="57" t="str">
        <f t="shared" si="10"/>
        <v/>
      </c>
    </row>
    <row r="547" spans="3:3" x14ac:dyDescent="0.3">
      <c r="C547" s="57" t="str">
        <f t="shared" si="10"/>
        <v/>
      </c>
    </row>
    <row r="548" spans="3:3" x14ac:dyDescent="0.3">
      <c r="C548" s="57" t="str">
        <f t="shared" si="10"/>
        <v/>
      </c>
    </row>
    <row r="549" spans="3:3" x14ac:dyDescent="0.3">
      <c r="C549" s="57" t="str">
        <f t="shared" si="10"/>
        <v/>
      </c>
    </row>
    <row r="550" spans="3:3" x14ac:dyDescent="0.3">
      <c r="C550" s="57" t="str">
        <f t="shared" si="10"/>
        <v/>
      </c>
    </row>
    <row r="551" spans="3:3" x14ac:dyDescent="0.3">
      <c r="C551" s="57" t="str">
        <f t="shared" si="10"/>
        <v/>
      </c>
    </row>
    <row r="552" spans="3:3" x14ac:dyDescent="0.3">
      <c r="C552" s="57" t="str">
        <f t="shared" si="10"/>
        <v/>
      </c>
    </row>
    <row r="553" spans="3:3" x14ac:dyDescent="0.3">
      <c r="C553" s="57" t="str">
        <f t="shared" si="10"/>
        <v/>
      </c>
    </row>
    <row r="554" spans="3:3" x14ac:dyDescent="0.3">
      <c r="C554" s="57" t="str">
        <f t="shared" si="10"/>
        <v/>
      </c>
    </row>
    <row r="555" spans="3:3" x14ac:dyDescent="0.3">
      <c r="C555" s="57" t="str">
        <f t="shared" si="10"/>
        <v/>
      </c>
    </row>
    <row r="556" spans="3:3" x14ac:dyDescent="0.3">
      <c r="C556" s="57" t="str">
        <f t="shared" si="10"/>
        <v/>
      </c>
    </row>
    <row r="557" spans="3:3" x14ac:dyDescent="0.3">
      <c r="C557" s="57" t="str">
        <f t="shared" si="10"/>
        <v/>
      </c>
    </row>
    <row r="558" spans="3:3" x14ac:dyDescent="0.3">
      <c r="C558" s="57" t="str">
        <f t="shared" si="10"/>
        <v/>
      </c>
    </row>
    <row r="559" spans="3:3" x14ac:dyDescent="0.3">
      <c r="C559" s="57" t="str">
        <f t="shared" si="10"/>
        <v/>
      </c>
    </row>
    <row r="560" spans="3:3" x14ac:dyDescent="0.3">
      <c r="C560" s="57" t="str">
        <f t="shared" si="10"/>
        <v/>
      </c>
    </row>
    <row r="561" spans="3:3" x14ac:dyDescent="0.3">
      <c r="C561" s="57" t="str">
        <f t="shared" si="10"/>
        <v/>
      </c>
    </row>
    <row r="562" spans="3:3" x14ac:dyDescent="0.3">
      <c r="C562" s="57" t="str">
        <f t="shared" si="10"/>
        <v/>
      </c>
    </row>
    <row r="563" spans="3:3" x14ac:dyDescent="0.3">
      <c r="C563" s="57" t="str">
        <f t="shared" si="10"/>
        <v/>
      </c>
    </row>
    <row r="564" spans="3:3" x14ac:dyDescent="0.3">
      <c r="C564" s="57" t="str">
        <f t="shared" si="10"/>
        <v/>
      </c>
    </row>
    <row r="565" spans="3:3" x14ac:dyDescent="0.3">
      <c r="C565" s="57" t="str">
        <f t="shared" si="10"/>
        <v/>
      </c>
    </row>
    <row r="566" spans="3:3" x14ac:dyDescent="0.3">
      <c r="C566" s="57" t="str">
        <f t="shared" si="10"/>
        <v/>
      </c>
    </row>
    <row r="567" spans="3:3" x14ac:dyDescent="0.3">
      <c r="C567" s="57" t="str">
        <f t="shared" si="10"/>
        <v/>
      </c>
    </row>
    <row r="568" spans="3:3" x14ac:dyDescent="0.3">
      <c r="C568" s="57" t="str">
        <f t="shared" si="10"/>
        <v/>
      </c>
    </row>
    <row r="569" spans="3:3" x14ac:dyDescent="0.3">
      <c r="C569" s="57" t="str">
        <f t="shared" si="10"/>
        <v/>
      </c>
    </row>
    <row r="570" spans="3:3" x14ac:dyDescent="0.3">
      <c r="C570" s="57" t="str">
        <f t="shared" si="10"/>
        <v/>
      </c>
    </row>
    <row r="571" spans="3:3" x14ac:dyDescent="0.3">
      <c r="C571" s="57" t="str">
        <f t="shared" si="10"/>
        <v/>
      </c>
    </row>
    <row r="572" spans="3:3" x14ac:dyDescent="0.3">
      <c r="C572" s="57" t="str">
        <f t="shared" si="10"/>
        <v/>
      </c>
    </row>
    <row r="573" spans="3:3" x14ac:dyDescent="0.3">
      <c r="C573" s="57" t="str">
        <f t="shared" si="10"/>
        <v/>
      </c>
    </row>
    <row r="574" spans="3:3" x14ac:dyDescent="0.3">
      <c r="C574" s="57" t="str">
        <f t="shared" si="10"/>
        <v/>
      </c>
    </row>
    <row r="575" spans="3:3" x14ac:dyDescent="0.3">
      <c r="C575" s="57" t="str">
        <f t="shared" si="10"/>
        <v/>
      </c>
    </row>
    <row r="576" spans="3:3" x14ac:dyDescent="0.3">
      <c r="C576" s="57" t="str">
        <f t="shared" si="10"/>
        <v/>
      </c>
    </row>
    <row r="577" spans="3:3" x14ac:dyDescent="0.3">
      <c r="C577" s="57" t="str">
        <f t="shared" si="10"/>
        <v/>
      </c>
    </row>
    <row r="578" spans="3:3" x14ac:dyDescent="0.3">
      <c r="C578" s="57" t="str">
        <f t="shared" si="10"/>
        <v/>
      </c>
    </row>
    <row r="579" spans="3:3" x14ac:dyDescent="0.3">
      <c r="C579" s="57" t="str">
        <f t="shared" si="10"/>
        <v/>
      </c>
    </row>
    <row r="580" spans="3:3" x14ac:dyDescent="0.3">
      <c r="C580" s="57" t="str">
        <f t="shared" si="10"/>
        <v/>
      </c>
    </row>
    <row r="581" spans="3:3" x14ac:dyDescent="0.3">
      <c r="C581" s="57" t="str">
        <f t="shared" si="10"/>
        <v/>
      </c>
    </row>
    <row r="582" spans="3:3" x14ac:dyDescent="0.3">
      <c r="C582" s="57" t="str">
        <f t="shared" si="10"/>
        <v/>
      </c>
    </row>
    <row r="583" spans="3:3" x14ac:dyDescent="0.3">
      <c r="C583" s="57" t="str">
        <f t="shared" si="10"/>
        <v/>
      </c>
    </row>
    <row r="584" spans="3:3" x14ac:dyDescent="0.3">
      <c r="C584" s="57" t="str">
        <f t="shared" si="10"/>
        <v/>
      </c>
    </row>
    <row r="585" spans="3:3" x14ac:dyDescent="0.3">
      <c r="C585" s="57" t="str">
        <f t="shared" si="10"/>
        <v/>
      </c>
    </row>
    <row r="586" spans="3:3" x14ac:dyDescent="0.3">
      <c r="C586" s="57" t="str">
        <f t="shared" si="10"/>
        <v/>
      </c>
    </row>
    <row r="587" spans="3:3" x14ac:dyDescent="0.3">
      <c r="C587" s="57" t="str">
        <f t="shared" si="10"/>
        <v/>
      </c>
    </row>
    <row r="588" spans="3:3" x14ac:dyDescent="0.3">
      <c r="C588" s="57" t="str">
        <f t="shared" si="10"/>
        <v/>
      </c>
    </row>
    <row r="589" spans="3:3" x14ac:dyDescent="0.3">
      <c r="C589" s="57" t="str">
        <f t="shared" si="10"/>
        <v/>
      </c>
    </row>
    <row r="590" spans="3:3" x14ac:dyDescent="0.3">
      <c r="C590" s="57" t="str">
        <f t="shared" si="10"/>
        <v/>
      </c>
    </row>
    <row r="591" spans="3:3" x14ac:dyDescent="0.3">
      <c r="C591" s="57" t="str">
        <f t="shared" si="10"/>
        <v/>
      </c>
    </row>
    <row r="592" spans="3:3" x14ac:dyDescent="0.3">
      <c r="C592" s="57" t="str">
        <f t="shared" si="10"/>
        <v/>
      </c>
    </row>
    <row r="593" spans="3:3" x14ac:dyDescent="0.3">
      <c r="C593" s="57" t="str">
        <f t="shared" si="10"/>
        <v/>
      </c>
    </row>
    <row r="594" spans="3:3" x14ac:dyDescent="0.3">
      <c r="C594" s="57" t="str">
        <f t="shared" si="10"/>
        <v/>
      </c>
    </row>
    <row r="595" spans="3:3" x14ac:dyDescent="0.3">
      <c r="C595" s="57" t="str">
        <f t="shared" si="10"/>
        <v/>
      </c>
    </row>
    <row r="596" spans="3:3" x14ac:dyDescent="0.3">
      <c r="C596" s="57" t="str">
        <f t="shared" si="10"/>
        <v/>
      </c>
    </row>
    <row r="597" spans="3:3" x14ac:dyDescent="0.3">
      <c r="C597" s="57" t="str">
        <f t="shared" si="10"/>
        <v/>
      </c>
    </row>
    <row r="598" spans="3:3" x14ac:dyDescent="0.3">
      <c r="C598" s="57" t="str">
        <f t="shared" si="10"/>
        <v/>
      </c>
    </row>
    <row r="599" spans="3:3" x14ac:dyDescent="0.3">
      <c r="C599" s="57" t="str">
        <f t="shared" si="10"/>
        <v/>
      </c>
    </row>
    <row r="600" spans="3:3" x14ac:dyDescent="0.3">
      <c r="C600" s="57" t="str">
        <f t="shared" si="10"/>
        <v/>
      </c>
    </row>
    <row r="601" spans="3:3" x14ac:dyDescent="0.3">
      <c r="C601" s="57" t="str">
        <f t="shared" si="10"/>
        <v/>
      </c>
    </row>
    <row r="602" spans="3:3" x14ac:dyDescent="0.3">
      <c r="C602" s="57" t="str">
        <f t="shared" si="10"/>
        <v/>
      </c>
    </row>
    <row r="603" spans="3:3" x14ac:dyDescent="0.3">
      <c r="C603" s="57" t="str">
        <f t="shared" si="10"/>
        <v/>
      </c>
    </row>
    <row r="604" spans="3:3" x14ac:dyDescent="0.3">
      <c r="C604" s="57" t="str">
        <f t="shared" si="10"/>
        <v/>
      </c>
    </row>
    <row r="605" spans="3:3" x14ac:dyDescent="0.3">
      <c r="C605" s="57" t="str">
        <f t="shared" si="10"/>
        <v/>
      </c>
    </row>
    <row r="606" spans="3:3" x14ac:dyDescent="0.3">
      <c r="C606" s="57" t="str">
        <f t="shared" si="10"/>
        <v/>
      </c>
    </row>
    <row r="607" spans="3:3" x14ac:dyDescent="0.3">
      <c r="C607" s="57" t="str">
        <f t="shared" si="10"/>
        <v/>
      </c>
    </row>
    <row r="608" spans="3:3" x14ac:dyDescent="0.3">
      <c r="C608" s="57" t="str">
        <f t="shared" si="10"/>
        <v/>
      </c>
    </row>
    <row r="609" spans="3:3" x14ac:dyDescent="0.3">
      <c r="C609" s="57" t="str">
        <f t="shared" ref="C609:C672" si="11">IF(ISBLANK(B609),"",PROPER(TEXT(B609,"MMMM")))</f>
        <v/>
      </c>
    </row>
    <row r="610" spans="3:3" x14ac:dyDescent="0.3">
      <c r="C610" s="57" t="str">
        <f t="shared" si="11"/>
        <v/>
      </c>
    </row>
    <row r="611" spans="3:3" x14ac:dyDescent="0.3">
      <c r="C611" s="57" t="str">
        <f t="shared" si="11"/>
        <v/>
      </c>
    </row>
    <row r="612" spans="3:3" x14ac:dyDescent="0.3">
      <c r="C612" s="57" t="str">
        <f t="shared" si="11"/>
        <v/>
      </c>
    </row>
    <row r="613" spans="3:3" x14ac:dyDescent="0.3">
      <c r="C613" s="57" t="str">
        <f t="shared" si="11"/>
        <v/>
      </c>
    </row>
    <row r="614" spans="3:3" x14ac:dyDescent="0.3">
      <c r="C614" s="57" t="str">
        <f t="shared" si="11"/>
        <v/>
      </c>
    </row>
    <row r="615" spans="3:3" x14ac:dyDescent="0.3">
      <c r="C615" s="57" t="str">
        <f t="shared" si="11"/>
        <v/>
      </c>
    </row>
    <row r="616" spans="3:3" x14ac:dyDescent="0.3">
      <c r="C616" s="57" t="str">
        <f t="shared" si="11"/>
        <v/>
      </c>
    </row>
    <row r="617" spans="3:3" x14ac:dyDescent="0.3">
      <c r="C617" s="57" t="str">
        <f t="shared" si="11"/>
        <v/>
      </c>
    </row>
    <row r="618" spans="3:3" x14ac:dyDescent="0.3">
      <c r="C618" s="57" t="str">
        <f t="shared" si="11"/>
        <v/>
      </c>
    </row>
    <row r="619" spans="3:3" x14ac:dyDescent="0.3">
      <c r="C619" s="57" t="str">
        <f t="shared" si="11"/>
        <v/>
      </c>
    </row>
    <row r="620" spans="3:3" x14ac:dyDescent="0.3">
      <c r="C620" s="57" t="str">
        <f t="shared" si="11"/>
        <v/>
      </c>
    </row>
    <row r="621" spans="3:3" x14ac:dyDescent="0.3">
      <c r="C621" s="57" t="str">
        <f t="shared" si="11"/>
        <v/>
      </c>
    </row>
    <row r="622" spans="3:3" x14ac:dyDescent="0.3">
      <c r="C622" s="57" t="str">
        <f t="shared" si="11"/>
        <v/>
      </c>
    </row>
    <row r="623" spans="3:3" x14ac:dyDescent="0.3">
      <c r="C623" s="57" t="str">
        <f t="shared" si="11"/>
        <v/>
      </c>
    </row>
    <row r="624" spans="3:3" x14ac:dyDescent="0.3">
      <c r="C624" s="57" t="str">
        <f t="shared" si="11"/>
        <v/>
      </c>
    </row>
    <row r="625" spans="3:3" x14ac:dyDescent="0.3">
      <c r="C625" s="57" t="str">
        <f t="shared" si="11"/>
        <v/>
      </c>
    </row>
    <row r="626" spans="3:3" x14ac:dyDescent="0.3">
      <c r="C626" s="57" t="str">
        <f t="shared" si="11"/>
        <v/>
      </c>
    </row>
    <row r="627" spans="3:3" x14ac:dyDescent="0.3">
      <c r="C627" s="57" t="str">
        <f t="shared" si="11"/>
        <v/>
      </c>
    </row>
    <row r="628" spans="3:3" x14ac:dyDescent="0.3">
      <c r="C628" s="57" t="str">
        <f t="shared" si="11"/>
        <v/>
      </c>
    </row>
    <row r="629" spans="3:3" x14ac:dyDescent="0.3">
      <c r="C629" s="57" t="str">
        <f t="shared" si="11"/>
        <v/>
      </c>
    </row>
    <row r="630" spans="3:3" x14ac:dyDescent="0.3">
      <c r="C630" s="57" t="str">
        <f t="shared" si="11"/>
        <v/>
      </c>
    </row>
    <row r="631" spans="3:3" x14ac:dyDescent="0.3">
      <c r="C631" s="57" t="str">
        <f t="shared" si="11"/>
        <v/>
      </c>
    </row>
    <row r="632" spans="3:3" x14ac:dyDescent="0.3">
      <c r="C632" s="57" t="str">
        <f t="shared" si="11"/>
        <v/>
      </c>
    </row>
    <row r="633" spans="3:3" x14ac:dyDescent="0.3">
      <c r="C633" s="57" t="str">
        <f t="shared" si="11"/>
        <v/>
      </c>
    </row>
    <row r="634" spans="3:3" x14ac:dyDescent="0.3">
      <c r="C634" s="57" t="str">
        <f t="shared" si="11"/>
        <v/>
      </c>
    </row>
    <row r="635" spans="3:3" x14ac:dyDescent="0.3">
      <c r="C635" s="57" t="str">
        <f t="shared" si="11"/>
        <v/>
      </c>
    </row>
    <row r="636" spans="3:3" x14ac:dyDescent="0.3">
      <c r="C636" s="57" t="str">
        <f t="shared" si="11"/>
        <v/>
      </c>
    </row>
    <row r="637" spans="3:3" x14ac:dyDescent="0.3">
      <c r="C637" s="57" t="str">
        <f t="shared" si="11"/>
        <v/>
      </c>
    </row>
    <row r="638" spans="3:3" x14ac:dyDescent="0.3">
      <c r="C638" s="57" t="str">
        <f t="shared" si="11"/>
        <v/>
      </c>
    </row>
    <row r="639" spans="3:3" x14ac:dyDescent="0.3">
      <c r="C639" s="57" t="str">
        <f t="shared" si="11"/>
        <v/>
      </c>
    </row>
    <row r="640" spans="3:3" x14ac:dyDescent="0.3">
      <c r="C640" s="57" t="str">
        <f t="shared" si="11"/>
        <v/>
      </c>
    </row>
    <row r="641" spans="3:3" x14ac:dyDescent="0.3">
      <c r="C641" s="57" t="str">
        <f t="shared" si="11"/>
        <v/>
      </c>
    </row>
    <row r="642" spans="3:3" x14ac:dyDescent="0.3">
      <c r="C642" s="57" t="str">
        <f t="shared" si="11"/>
        <v/>
      </c>
    </row>
    <row r="643" spans="3:3" x14ac:dyDescent="0.3">
      <c r="C643" s="57" t="str">
        <f t="shared" si="11"/>
        <v/>
      </c>
    </row>
    <row r="644" spans="3:3" x14ac:dyDescent="0.3">
      <c r="C644" s="57" t="str">
        <f t="shared" si="11"/>
        <v/>
      </c>
    </row>
    <row r="645" spans="3:3" x14ac:dyDescent="0.3">
      <c r="C645" s="57" t="str">
        <f t="shared" si="11"/>
        <v/>
      </c>
    </row>
    <row r="646" spans="3:3" x14ac:dyDescent="0.3">
      <c r="C646" s="57" t="str">
        <f t="shared" si="11"/>
        <v/>
      </c>
    </row>
    <row r="647" spans="3:3" x14ac:dyDescent="0.3">
      <c r="C647" s="57" t="str">
        <f t="shared" si="11"/>
        <v/>
      </c>
    </row>
    <row r="648" spans="3:3" x14ac:dyDescent="0.3">
      <c r="C648" s="57" t="str">
        <f t="shared" si="11"/>
        <v/>
      </c>
    </row>
    <row r="649" spans="3:3" x14ac:dyDescent="0.3">
      <c r="C649" s="57" t="str">
        <f t="shared" si="11"/>
        <v/>
      </c>
    </row>
    <row r="650" spans="3:3" x14ac:dyDescent="0.3">
      <c r="C650" s="57" t="str">
        <f t="shared" si="11"/>
        <v/>
      </c>
    </row>
    <row r="651" spans="3:3" x14ac:dyDescent="0.3">
      <c r="C651" s="57" t="str">
        <f t="shared" si="11"/>
        <v/>
      </c>
    </row>
    <row r="652" spans="3:3" x14ac:dyDescent="0.3">
      <c r="C652" s="57" t="str">
        <f t="shared" si="11"/>
        <v/>
      </c>
    </row>
    <row r="653" spans="3:3" x14ac:dyDescent="0.3">
      <c r="C653" s="57" t="str">
        <f t="shared" si="11"/>
        <v/>
      </c>
    </row>
    <row r="654" spans="3:3" x14ac:dyDescent="0.3">
      <c r="C654" s="57" t="str">
        <f t="shared" si="11"/>
        <v/>
      </c>
    </row>
    <row r="655" spans="3:3" x14ac:dyDescent="0.3">
      <c r="C655" s="57" t="str">
        <f t="shared" si="11"/>
        <v/>
      </c>
    </row>
    <row r="656" spans="3:3" x14ac:dyDescent="0.3">
      <c r="C656" s="57" t="str">
        <f t="shared" si="11"/>
        <v/>
      </c>
    </row>
    <row r="657" spans="3:3" x14ac:dyDescent="0.3">
      <c r="C657" s="57" t="str">
        <f t="shared" si="11"/>
        <v/>
      </c>
    </row>
    <row r="658" spans="3:3" x14ac:dyDescent="0.3">
      <c r="C658" s="57" t="str">
        <f t="shared" si="11"/>
        <v/>
      </c>
    </row>
    <row r="659" spans="3:3" x14ac:dyDescent="0.3">
      <c r="C659" s="57" t="str">
        <f t="shared" si="11"/>
        <v/>
      </c>
    </row>
    <row r="660" spans="3:3" x14ac:dyDescent="0.3">
      <c r="C660" s="57" t="str">
        <f t="shared" si="11"/>
        <v/>
      </c>
    </row>
    <row r="661" spans="3:3" x14ac:dyDescent="0.3">
      <c r="C661" s="57" t="str">
        <f t="shared" si="11"/>
        <v/>
      </c>
    </row>
    <row r="662" spans="3:3" x14ac:dyDescent="0.3">
      <c r="C662" s="57" t="str">
        <f t="shared" si="11"/>
        <v/>
      </c>
    </row>
    <row r="663" spans="3:3" x14ac:dyDescent="0.3">
      <c r="C663" s="57" t="str">
        <f t="shared" si="11"/>
        <v/>
      </c>
    </row>
    <row r="664" spans="3:3" x14ac:dyDescent="0.3">
      <c r="C664" s="57" t="str">
        <f t="shared" si="11"/>
        <v/>
      </c>
    </row>
    <row r="665" spans="3:3" x14ac:dyDescent="0.3">
      <c r="C665" s="57" t="str">
        <f t="shared" si="11"/>
        <v/>
      </c>
    </row>
    <row r="666" spans="3:3" x14ac:dyDescent="0.3">
      <c r="C666" s="57" t="str">
        <f t="shared" si="11"/>
        <v/>
      </c>
    </row>
    <row r="667" spans="3:3" x14ac:dyDescent="0.3">
      <c r="C667" s="57" t="str">
        <f t="shared" si="11"/>
        <v/>
      </c>
    </row>
    <row r="668" spans="3:3" x14ac:dyDescent="0.3">
      <c r="C668" s="57" t="str">
        <f t="shared" si="11"/>
        <v/>
      </c>
    </row>
    <row r="669" spans="3:3" x14ac:dyDescent="0.3">
      <c r="C669" s="57" t="str">
        <f t="shared" si="11"/>
        <v/>
      </c>
    </row>
    <row r="670" spans="3:3" x14ac:dyDescent="0.3">
      <c r="C670" s="57" t="str">
        <f t="shared" si="11"/>
        <v/>
      </c>
    </row>
    <row r="671" spans="3:3" x14ac:dyDescent="0.3">
      <c r="C671" s="57" t="str">
        <f t="shared" si="11"/>
        <v/>
      </c>
    </row>
    <row r="672" spans="3:3" x14ac:dyDescent="0.3">
      <c r="C672" s="57" t="str">
        <f t="shared" si="11"/>
        <v/>
      </c>
    </row>
    <row r="673" spans="3:3" x14ac:dyDescent="0.3">
      <c r="C673" s="57" t="str">
        <f t="shared" ref="C673:C736" si="12">IF(ISBLANK(B673),"",PROPER(TEXT(B673,"MMMM")))</f>
        <v/>
      </c>
    </row>
    <row r="674" spans="3:3" x14ac:dyDescent="0.3">
      <c r="C674" s="57" t="str">
        <f t="shared" si="12"/>
        <v/>
      </c>
    </row>
    <row r="675" spans="3:3" x14ac:dyDescent="0.3">
      <c r="C675" s="57" t="str">
        <f t="shared" si="12"/>
        <v/>
      </c>
    </row>
    <row r="676" spans="3:3" x14ac:dyDescent="0.3">
      <c r="C676" s="57" t="str">
        <f t="shared" si="12"/>
        <v/>
      </c>
    </row>
    <row r="677" spans="3:3" x14ac:dyDescent="0.3">
      <c r="C677" s="57" t="str">
        <f t="shared" si="12"/>
        <v/>
      </c>
    </row>
    <row r="678" spans="3:3" x14ac:dyDescent="0.3">
      <c r="C678" s="57" t="str">
        <f t="shared" si="12"/>
        <v/>
      </c>
    </row>
    <row r="679" spans="3:3" x14ac:dyDescent="0.3">
      <c r="C679" s="57" t="str">
        <f t="shared" si="12"/>
        <v/>
      </c>
    </row>
    <row r="680" spans="3:3" x14ac:dyDescent="0.3">
      <c r="C680" s="57" t="str">
        <f t="shared" si="12"/>
        <v/>
      </c>
    </row>
    <row r="681" spans="3:3" x14ac:dyDescent="0.3">
      <c r="C681" s="57" t="str">
        <f t="shared" si="12"/>
        <v/>
      </c>
    </row>
    <row r="682" spans="3:3" x14ac:dyDescent="0.3">
      <c r="C682" s="57" t="str">
        <f t="shared" si="12"/>
        <v/>
      </c>
    </row>
    <row r="683" spans="3:3" x14ac:dyDescent="0.3">
      <c r="C683" s="57" t="str">
        <f t="shared" si="12"/>
        <v/>
      </c>
    </row>
    <row r="684" spans="3:3" x14ac:dyDescent="0.3">
      <c r="C684" s="57" t="str">
        <f t="shared" si="12"/>
        <v/>
      </c>
    </row>
    <row r="685" spans="3:3" x14ac:dyDescent="0.3">
      <c r="C685" s="57" t="str">
        <f t="shared" si="12"/>
        <v/>
      </c>
    </row>
    <row r="686" spans="3:3" x14ac:dyDescent="0.3">
      <c r="C686" s="57" t="str">
        <f t="shared" si="12"/>
        <v/>
      </c>
    </row>
    <row r="687" spans="3:3" x14ac:dyDescent="0.3">
      <c r="C687" s="57" t="str">
        <f t="shared" si="12"/>
        <v/>
      </c>
    </row>
    <row r="688" spans="3:3" x14ac:dyDescent="0.3">
      <c r="C688" s="57" t="str">
        <f t="shared" si="12"/>
        <v/>
      </c>
    </row>
    <row r="689" spans="3:3" x14ac:dyDescent="0.3">
      <c r="C689" s="57" t="str">
        <f t="shared" si="12"/>
        <v/>
      </c>
    </row>
    <row r="690" spans="3:3" x14ac:dyDescent="0.3">
      <c r="C690" s="57" t="str">
        <f t="shared" si="12"/>
        <v/>
      </c>
    </row>
    <row r="691" spans="3:3" x14ac:dyDescent="0.3">
      <c r="C691" s="57" t="str">
        <f t="shared" si="12"/>
        <v/>
      </c>
    </row>
    <row r="692" spans="3:3" x14ac:dyDescent="0.3">
      <c r="C692" s="57" t="str">
        <f t="shared" si="12"/>
        <v/>
      </c>
    </row>
    <row r="693" spans="3:3" x14ac:dyDescent="0.3">
      <c r="C693" s="57" t="str">
        <f t="shared" si="12"/>
        <v/>
      </c>
    </row>
    <row r="694" spans="3:3" x14ac:dyDescent="0.3">
      <c r="C694" s="57" t="str">
        <f t="shared" si="12"/>
        <v/>
      </c>
    </row>
    <row r="695" spans="3:3" x14ac:dyDescent="0.3">
      <c r="C695" s="57" t="str">
        <f t="shared" si="12"/>
        <v/>
      </c>
    </row>
    <row r="696" spans="3:3" x14ac:dyDescent="0.3">
      <c r="C696" s="57" t="str">
        <f t="shared" si="12"/>
        <v/>
      </c>
    </row>
    <row r="697" spans="3:3" x14ac:dyDescent="0.3">
      <c r="C697" s="57" t="str">
        <f t="shared" si="12"/>
        <v/>
      </c>
    </row>
    <row r="698" spans="3:3" x14ac:dyDescent="0.3">
      <c r="C698" s="57" t="str">
        <f t="shared" si="12"/>
        <v/>
      </c>
    </row>
    <row r="699" spans="3:3" x14ac:dyDescent="0.3">
      <c r="C699" s="57" t="str">
        <f t="shared" si="12"/>
        <v/>
      </c>
    </row>
    <row r="700" spans="3:3" x14ac:dyDescent="0.3">
      <c r="C700" s="57" t="str">
        <f t="shared" si="12"/>
        <v/>
      </c>
    </row>
    <row r="701" spans="3:3" x14ac:dyDescent="0.3">
      <c r="C701" s="57" t="str">
        <f t="shared" si="12"/>
        <v/>
      </c>
    </row>
    <row r="702" spans="3:3" x14ac:dyDescent="0.3">
      <c r="C702" s="57" t="str">
        <f t="shared" si="12"/>
        <v/>
      </c>
    </row>
    <row r="703" spans="3:3" x14ac:dyDescent="0.3">
      <c r="C703" s="57" t="str">
        <f t="shared" si="12"/>
        <v/>
      </c>
    </row>
    <row r="704" spans="3:3" x14ac:dyDescent="0.3">
      <c r="C704" s="57" t="str">
        <f t="shared" si="12"/>
        <v/>
      </c>
    </row>
    <row r="705" spans="3:3" x14ac:dyDescent="0.3">
      <c r="C705" s="57" t="str">
        <f t="shared" si="12"/>
        <v/>
      </c>
    </row>
    <row r="706" spans="3:3" x14ac:dyDescent="0.3">
      <c r="C706" s="57" t="str">
        <f t="shared" si="12"/>
        <v/>
      </c>
    </row>
    <row r="707" spans="3:3" x14ac:dyDescent="0.3">
      <c r="C707" s="57" t="str">
        <f t="shared" si="12"/>
        <v/>
      </c>
    </row>
    <row r="708" spans="3:3" x14ac:dyDescent="0.3">
      <c r="C708" s="57" t="str">
        <f t="shared" si="12"/>
        <v/>
      </c>
    </row>
    <row r="709" spans="3:3" x14ac:dyDescent="0.3">
      <c r="C709" s="57" t="str">
        <f t="shared" si="12"/>
        <v/>
      </c>
    </row>
    <row r="710" spans="3:3" x14ac:dyDescent="0.3">
      <c r="C710" s="57" t="str">
        <f t="shared" si="12"/>
        <v/>
      </c>
    </row>
    <row r="711" spans="3:3" x14ac:dyDescent="0.3">
      <c r="C711" s="57" t="str">
        <f t="shared" si="12"/>
        <v/>
      </c>
    </row>
    <row r="712" spans="3:3" x14ac:dyDescent="0.3">
      <c r="C712" s="57" t="str">
        <f t="shared" si="12"/>
        <v/>
      </c>
    </row>
    <row r="713" spans="3:3" x14ac:dyDescent="0.3">
      <c r="C713" s="57" t="str">
        <f t="shared" si="12"/>
        <v/>
      </c>
    </row>
    <row r="714" spans="3:3" x14ac:dyDescent="0.3">
      <c r="C714" s="57" t="str">
        <f t="shared" si="12"/>
        <v/>
      </c>
    </row>
    <row r="715" spans="3:3" x14ac:dyDescent="0.3">
      <c r="C715" s="57" t="str">
        <f t="shared" si="12"/>
        <v/>
      </c>
    </row>
    <row r="716" spans="3:3" x14ac:dyDescent="0.3">
      <c r="C716" s="57" t="str">
        <f t="shared" si="12"/>
        <v/>
      </c>
    </row>
    <row r="717" spans="3:3" x14ac:dyDescent="0.3">
      <c r="C717" s="57" t="str">
        <f t="shared" si="12"/>
        <v/>
      </c>
    </row>
    <row r="718" spans="3:3" x14ac:dyDescent="0.3">
      <c r="C718" s="57" t="str">
        <f t="shared" si="12"/>
        <v/>
      </c>
    </row>
    <row r="719" spans="3:3" x14ac:dyDescent="0.3">
      <c r="C719" s="57" t="str">
        <f t="shared" si="12"/>
        <v/>
      </c>
    </row>
    <row r="720" spans="3:3" x14ac:dyDescent="0.3">
      <c r="C720" s="57" t="str">
        <f t="shared" si="12"/>
        <v/>
      </c>
    </row>
    <row r="721" spans="3:3" x14ac:dyDescent="0.3">
      <c r="C721" s="57" t="str">
        <f t="shared" si="12"/>
        <v/>
      </c>
    </row>
    <row r="722" spans="3:3" x14ac:dyDescent="0.3">
      <c r="C722" s="57" t="str">
        <f t="shared" si="12"/>
        <v/>
      </c>
    </row>
    <row r="723" spans="3:3" x14ac:dyDescent="0.3">
      <c r="C723" s="57" t="str">
        <f t="shared" si="12"/>
        <v/>
      </c>
    </row>
    <row r="724" spans="3:3" x14ac:dyDescent="0.3">
      <c r="C724" s="57" t="str">
        <f t="shared" si="12"/>
        <v/>
      </c>
    </row>
    <row r="725" spans="3:3" x14ac:dyDescent="0.3">
      <c r="C725" s="57" t="str">
        <f t="shared" si="12"/>
        <v/>
      </c>
    </row>
    <row r="726" spans="3:3" x14ac:dyDescent="0.3">
      <c r="C726" s="57" t="str">
        <f t="shared" si="12"/>
        <v/>
      </c>
    </row>
    <row r="727" spans="3:3" x14ac:dyDescent="0.3">
      <c r="C727" s="57" t="str">
        <f t="shared" si="12"/>
        <v/>
      </c>
    </row>
    <row r="728" spans="3:3" x14ac:dyDescent="0.3">
      <c r="C728" s="57" t="str">
        <f t="shared" si="12"/>
        <v/>
      </c>
    </row>
    <row r="729" spans="3:3" x14ac:dyDescent="0.3">
      <c r="C729" s="57" t="str">
        <f t="shared" si="12"/>
        <v/>
      </c>
    </row>
    <row r="730" spans="3:3" x14ac:dyDescent="0.3">
      <c r="C730" s="57" t="str">
        <f t="shared" si="12"/>
        <v/>
      </c>
    </row>
    <row r="731" spans="3:3" x14ac:dyDescent="0.3">
      <c r="C731" s="57" t="str">
        <f t="shared" si="12"/>
        <v/>
      </c>
    </row>
    <row r="732" spans="3:3" x14ac:dyDescent="0.3">
      <c r="C732" s="57" t="str">
        <f t="shared" si="12"/>
        <v/>
      </c>
    </row>
    <row r="733" spans="3:3" x14ac:dyDescent="0.3">
      <c r="C733" s="57" t="str">
        <f t="shared" si="12"/>
        <v/>
      </c>
    </row>
    <row r="734" spans="3:3" x14ac:dyDescent="0.3">
      <c r="C734" s="57" t="str">
        <f t="shared" si="12"/>
        <v/>
      </c>
    </row>
    <row r="735" spans="3:3" x14ac:dyDescent="0.3">
      <c r="C735" s="57" t="str">
        <f t="shared" si="12"/>
        <v/>
      </c>
    </row>
    <row r="736" spans="3:3" x14ac:dyDescent="0.3">
      <c r="C736" s="57" t="str">
        <f t="shared" si="12"/>
        <v/>
      </c>
    </row>
    <row r="737" spans="3:3" x14ac:dyDescent="0.3">
      <c r="C737" s="57" t="str">
        <f t="shared" ref="C737:C785" si="13">IF(ISBLANK(B737),"",PROPER(TEXT(B737,"MMMM")))</f>
        <v/>
      </c>
    </row>
    <row r="738" spans="3:3" x14ac:dyDescent="0.3">
      <c r="C738" s="57" t="str">
        <f t="shared" si="13"/>
        <v/>
      </c>
    </row>
    <row r="739" spans="3:3" x14ac:dyDescent="0.3">
      <c r="C739" s="57" t="str">
        <f t="shared" si="13"/>
        <v/>
      </c>
    </row>
    <row r="740" spans="3:3" x14ac:dyDescent="0.3">
      <c r="C740" s="57" t="str">
        <f t="shared" si="13"/>
        <v/>
      </c>
    </row>
    <row r="741" spans="3:3" x14ac:dyDescent="0.3">
      <c r="C741" s="57" t="str">
        <f t="shared" si="13"/>
        <v/>
      </c>
    </row>
    <row r="742" spans="3:3" x14ac:dyDescent="0.3">
      <c r="C742" s="57" t="str">
        <f t="shared" si="13"/>
        <v/>
      </c>
    </row>
    <row r="743" spans="3:3" x14ac:dyDescent="0.3">
      <c r="C743" s="57" t="str">
        <f t="shared" si="13"/>
        <v/>
      </c>
    </row>
    <row r="744" spans="3:3" x14ac:dyDescent="0.3">
      <c r="C744" s="57" t="str">
        <f t="shared" si="13"/>
        <v/>
      </c>
    </row>
    <row r="745" spans="3:3" x14ac:dyDescent="0.3">
      <c r="C745" s="57" t="str">
        <f t="shared" si="13"/>
        <v/>
      </c>
    </row>
    <row r="746" spans="3:3" x14ac:dyDescent="0.3">
      <c r="C746" s="57" t="str">
        <f t="shared" si="13"/>
        <v/>
      </c>
    </row>
    <row r="747" spans="3:3" x14ac:dyDescent="0.3">
      <c r="C747" s="57" t="str">
        <f t="shared" si="13"/>
        <v/>
      </c>
    </row>
    <row r="748" spans="3:3" x14ac:dyDescent="0.3">
      <c r="C748" s="57" t="str">
        <f t="shared" si="13"/>
        <v/>
      </c>
    </row>
    <row r="749" spans="3:3" x14ac:dyDescent="0.3">
      <c r="C749" s="57" t="str">
        <f t="shared" si="13"/>
        <v/>
      </c>
    </row>
    <row r="750" spans="3:3" x14ac:dyDescent="0.3">
      <c r="C750" s="57" t="str">
        <f t="shared" si="13"/>
        <v/>
      </c>
    </row>
    <row r="751" spans="3:3" x14ac:dyDescent="0.3">
      <c r="C751" s="57" t="str">
        <f t="shared" si="13"/>
        <v/>
      </c>
    </row>
    <row r="752" spans="3:3" x14ac:dyDescent="0.3">
      <c r="C752" s="57" t="str">
        <f t="shared" si="13"/>
        <v/>
      </c>
    </row>
    <row r="753" spans="3:3" x14ac:dyDescent="0.3">
      <c r="C753" s="57" t="str">
        <f t="shared" si="13"/>
        <v/>
      </c>
    </row>
    <row r="754" spans="3:3" x14ac:dyDescent="0.3">
      <c r="C754" s="57" t="str">
        <f t="shared" si="13"/>
        <v/>
      </c>
    </row>
    <row r="755" spans="3:3" x14ac:dyDescent="0.3">
      <c r="C755" s="57" t="str">
        <f t="shared" si="13"/>
        <v/>
      </c>
    </row>
    <row r="756" spans="3:3" x14ac:dyDescent="0.3">
      <c r="C756" s="57" t="str">
        <f t="shared" si="13"/>
        <v/>
      </c>
    </row>
    <row r="757" spans="3:3" x14ac:dyDescent="0.3">
      <c r="C757" s="57" t="str">
        <f t="shared" si="13"/>
        <v/>
      </c>
    </row>
    <row r="758" spans="3:3" x14ac:dyDescent="0.3">
      <c r="C758" s="57" t="str">
        <f t="shared" si="13"/>
        <v/>
      </c>
    </row>
    <row r="759" spans="3:3" x14ac:dyDescent="0.3">
      <c r="C759" s="57" t="str">
        <f t="shared" si="13"/>
        <v/>
      </c>
    </row>
    <row r="760" spans="3:3" x14ac:dyDescent="0.3">
      <c r="C760" s="57" t="str">
        <f t="shared" si="13"/>
        <v/>
      </c>
    </row>
    <row r="761" spans="3:3" x14ac:dyDescent="0.3">
      <c r="C761" s="57" t="str">
        <f t="shared" si="13"/>
        <v/>
      </c>
    </row>
    <row r="762" spans="3:3" x14ac:dyDescent="0.3">
      <c r="C762" s="57" t="str">
        <f t="shared" si="13"/>
        <v/>
      </c>
    </row>
    <row r="763" spans="3:3" x14ac:dyDescent="0.3">
      <c r="C763" s="57" t="str">
        <f t="shared" si="13"/>
        <v/>
      </c>
    </row>
    <row r="764" spans="3:3" x14ac:dyDescent="0.3">
      <c r="C764" s="57" t="str">
        <f t="shared" si="13"/>
        <v/>
      </c>
    </row>
    <row r="765" spans="3:3" x14ac:dyDescent="0.3">
      <c r="C765" s="57" t="str">
        <f t="shared" si="13"/>
        <v/>
      </c>
    </row>
    <row r="766" spans="3:3" x14ac:dyDescent="0.3">
      <c r="C766" s="57" t="str">
        <f t="shared" si="13"/>
        <v/>
      </c>
    </row>
    <row r="767" spans="3:3" x14ac:dyDescent="0.3">
      <c r="C767" s="57" t="str">
        <f t="shared" si="13"/>
        <v/>
      </c>
    </row>
    <row r="768" spans="3:3" x14ac:dyDescent="0.3">
      <c r="C768" s="57" t="str">
        <f t="shared" si="13"/>
        <v/>
      </c>
    </row>
    <row r="769" spans="3:3" x14ac:dyDescent="0.3">
      <c r="C769" s="57" t="str">
        <f t="shared" si="13"/>
        <v/>
      </c>
    </row>
    <row r="770" spans="3:3" x14ac:dyDescent="0.3">
      <c r="C770" s="57" t="str">
        <f t="shared" si="13"/>
        <v/>
      </c>
    </row>
    <row r="771" spans="3:3" x14ac:dyDescent="0.3">
      <c r="C771" s="57" t="str">
        <f t="shared" si="13"/>
        <v/>
      </c>
    </row>
    <row r="772" spans="3:3" x14ac:dyDescent="0.3">
      <c r="C772" s="57" t="str">
        <f t="shared" si="13"/>
        <v/>
      </c>
    </row>
    <row r="773" spans="3:3" x14ac:dyDescent="0.3">
      <c r="C773" s="57" t="str">
        <f t="shared" si="13"/>
        <v/>
      </c>
    </row>
    <row r="774" spans="3:3" x14ac:dyDescent="0.3">
      <c r="C774" s="57" t="str">
        <f t="shared" si="13"/>
        <v/>
      </c>
    </row>
    <row r="775" spans="3:3" x14ac:dyDescent="0.3">
      <c r="C775" s="57" t="str">
        <f t="shared" si="13"/>
        <v/>
      </c>
    </row>
    <row r="776" spans="3:3" x14ac:dyDescent="0.3">
      <c r="C776" s="57" t="str">
        <f t="shared" si="13"/>
        <v/>
      </c>
    </row>
    <row r="777" spans="3:3" x14ac:dyDescent="0.3">
      <c r="C777" s="57" t="str">
        <f t="shared" si="13"/>
        <v/>
      </c>
    </row>
    <row r="778" spans="3:3" x14ac:dyDescent="0.3">
      <c r="C778" s="57" t="str">
        <f t="shared" si="13"/>
        <v/>
      </c>
    </row>
    <row r="779" spans="3:3" x14ac:dyDescent="0.3">
      <c r="C779" s="57" t="str">
        <f t="shared" si="13"/>
        <v/>
      </c>
    </row>
    <row r="780" spans="3:3" x14ac:dyDescent="0.3">
      <c r="C780" s="57" t="str">
        <f t="shared" si="13"/>
        <v/>
      </c>
    </row>
    <row r="781" spans="3:3" x14ac:dyDescent="0.3">
      <c r="C781" s="57" t="str">
        <f t="shared" si="13"/>
        <v/>
      </c>
    </row>
    <row r="782" spans="3:3" x14ac:dyDescent="0.3">
      <c r="C782" s="57" t="str">
        <f t="shared" si="13"/>
        <v/>
      </c>
    </row>
    <row r="783" spans="3:3" x14ac:dyDescent="0.3">
      <c r="C783" s="57" t="str">
        <f t="shared" si="13"/>
        <v/>
      </c>
    </row>
    <row r="784" spans="3:3" x14ac:dyDescent="0.3">
      <c r="C784" s="57" t="str">
        <f t="shared" si="13"/>
        <v/>
      </c>
    </row>
    <row r="785" spans="3:3" x14ac:dyDescent="0.3">
      <c r="C785" s="57" t="str">
        <f t="shared" si="13"/>
        <v/>
      </c>
    </row>
  </sheetData>
  <phoneticPr fontId="7" type="noConversion"/>
  <conditionalFormatting sqref="C4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{22E165F5-9619-4A9C-98F2-C7CF786D9B02}</x14:id>
        </ext>
      </extLst>
    </cfRule>
  </conditionalFormatting>
  <conditionalFormatting sqref="C13:C14">
    <cfRule type="cellIs" dxfId="1" priority="3" operator="equal">
      <formula>0</formula>
    </cfRule>
    <cfRule type="cellIs" dxfId="0" priority="4" operator="notEqual">
      <formula>0</formula>
    </cfRule>
  </conditionalFormatting>
  <dataValidations disablePrompts="1" count="6">
    <dataValidation type="list" allowBlank="1" showInputMessage="1" showErrorMessage="1" sqref="B3" xr:uid="{60D5F252-CE9E-4A5F-916C-4BCED7BE4850}">
      <formula1>"Despesas, Receita Líquida"</formula1>
    </dataValidation>
    <dataValidation type="list" allowBlank="1" showInputMessage="1" showErrorMessage="1" sqref="E17:E257" xr:uid="{E4F2BDDC-1223-4DFF-8087-7B85DF038B73}">
      <formula1>INDIRECT(D17)</formula1>
    </dataValidation>
    <dataValidation type="list" allowBlank="1" showInputMessage="1" showErrorMessage="1" sqref="D21:D257" xr:uid="{4E564D7B-00FF-4101-8D9D-5EA4D9B1919A}">
      <formula1>"Receitas, Perdas, Investimentos, Despesas, Transferir"</formula1>
    </dataValidation>
    <dataValidation type="list" allowBlank="1" showInputMessage="1" showErrorMessage="1" sqref="F17:F257" xr:uid="{0D51CC9B-6F94-4F85-BAFC-26C786BB30BC}">
      <formula1>Contas</formula1>
    </dataValidation>
    <dataValidation type="list" allowBlank="1" showInputMessage="1" showErrorMessage="1" sqref="B2" xr:uid="{D9270E47-B020-4CBF-A3A9-E523B28C14E7}">
      <formula1>Meses</formula1>
    </dataValidation>
    <dataValidation type="list" allowBlank="1" showInputMessage="1" showErrorMessage="1" sqref="D17:D20" xr:uid="{59AE1666-9FDA-45C5-A7FC-F1B5B2800C63}">
      <formula1>"Receitas, Perdas, Investimentos, Despesas, Transferir, Pagamento"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E165F5-9619-4A9C-98F2-C7CF786D9B02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axisColor rgb="FF000000"/>
            </x14:dataBar>
          </x14:cfRule>
          <xm:sqref>C4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1:M21"/>
  <sheetViews>
    <sheetView zoomScale="120" zoomScaleNormal="120" workbookViewId="0">
      <pane xSplit="1" topLeftCell="B1" activePane="topRight" state="frozen"/>
      <selection pane="topRight" activeCell="B2" sqref="B2"/>
    </sheetView>
  </sheetViews>
  <sheetFormatPr defaultRowHeight="15" x14ac:dyDescent="0.3"/>
  <cols>
    <col min="1" max="1" width="17.85546875" style="3" customWidth="1"/>
    <col min="2" max="13" width="15" style="3" customWidth="1"/>
    <col min="14" max="14" width="5.7109375" style="3" customWidth="1"/>
    <col min="15" max="15" width="4.28515625" style="3" customWidth="1"/>
    <col min="16" max="16384" width="9.140625" style="3"/>
  </cols>
  <sheetData>
    <row r="1" spans="1:13" ht="14.3" customHeight="1" x14ac:dyDescent="0.3"/>
    <row r="2" spans="1:13" ht="17.850000000000001" customHeight="1" x14ac:dyDescent="0.3">
      <c r="A2" s="77" t="s">
        <v>83</v>
      </c>
      <c r="B2" s="83">
        <f>SUM('Validação de Dados'!C5:C8)-('Validação de Dados'!C9)</f>
        <v>0</v>
      </c>
    </row>
    <row r="3" spans="1:13" ht="14.3" customHeight="1" x14ac:dyDescent="0.3"/>
    <row r="4" spans="1:13" ht="17.850000000000001" customHeight="1" x14ac:dyDescent="0.3">
      <c r="B4" s="76" t="str" cm="1">
        <f t="array" ref="B4:M4">TRANSPOSE(Meses)</f>
        <v>Janeiro</v>
      </c>
      <c r="C4" s="76" t="str">
        <v>Fevereiro</v>
      </c>
      <c r="D4" s="76" t="str">
        <v>Março</v>
      </c>
      <c r="E4" s="76" t="str">
        <v>Abril</v>
      </c>
      <c r="F4" s="76" t="str">
        <v>Maio</v>
      </c>
      <c r="G4" s="76" t="str">
        <v>Junho</v>
      </c>
      <c r="H4" s="76" t="str">
        <v>Julho</v>
      </c>
      <c r="I4" s="76" t="str">
        <v>Agosto</v>
      </c>
      <c r="J4" s="76" t="str">
        <v>Setembro</v>
      </c>
      <c r="K4" s="76" t="str">
        <v>Outubro</v>
      </c>
      <c r="L4" s="76" t="str">
        <v>Novembro</v>
      </c>
      <c r="M4" s="76" t="str">
        <v>Dezembro</v>
      </c>
    </row>
    <row r="5" spans="1:13" ht="17.850000000000001" customHeight="1" x14ac:dyDescent="0.3">
      <c r="A5" s="46" t="str" cm="1">
        <f t="array" ref="A5:A16">Receita_Líquida</f>
        <v>Salário</v>
      </c>
      <c r="B5" s="74">
        <f>SUMIFS(Tabela1[Valor],Tabela1[Mês],B$4,Tabela1[Categoria],$A5)</f>
        <v>150</v>
      </c>
      <c r="C5" s="74">
        <f>SUMIFS(Tabela1[Valor],Tabela1[Mês],C$4,Tabela1[Categoria],$A5)</f>
        <v>0</v>
      </c>
      <c r="D5" s="74">
        <f>SUMIFS(Tabela1[Valor],Tabela1[Mês],D$4,Tabela1[Categoria],$A5)</f>
        <v>0</v>
      </c>
      <c r="E5" s="74">
        <f>SUMIFS(Tabela1[Valor],Tabela1[Mês],E$4,Tabela1[Categoria],$A5)</f>
        <v>0</v>
      </c>
      <c r="F5" s="74">
        <f>SUMIFS(Tabela1[Valor],Tabela1[Mês],F$4,Tabela1[Categoria],$A5)</f>
        <v>0</v>
      </c>
      <c r="G5" s="74">
        <f>SUMIFS(Tabela1[Valor],Tabela1[Mês],G$4,Tabela1[Categoria],$A5)</f>
        <v>0</v>
      </c>
      <c r="H5" s="74">
        <f>SUMIFS(Tabela1[Valor],Tabela1[Mês],H$4,Tabela1[Categoria],$A5)</f>
        <v>0</v>
      </c>
      <c r="I5" s="74">
        <f>SUMIFS(Tabela1[Valor],Tabela1[Mês],I$4,Tabela1[Categoria],$A5)</f>
        <v>0</v>
      </c>
      <c r="J5" s="74">
        <f>SUMIFS(Tabela1[Valor],Tabela1[Mês],J$4,Tabela1[Categoria],$A5)</f>
        <v>0</v>
      </c>
      <c r="K5" s="74">
        <f>SUMIFS(Tabela1[Valor],Tabela1[Mês],K$4,Tabela1[Categoria],$A5)</f>
        <v>0</v>
      </c>
      <c r="L5" s="74">
        <f>SUMIFS(Tabela1[Valor],Tabela1[Mês],L$4,Tabela1[Categoria],$A5)</f>
        <v>0</v>
      </c>
      <c r="M5" s="74">
        <f>SUMIFS(Tabela1[Valor],Tabela1[Mês],M$4,Tabela1[Categoria],$A5)</f>
        <v>0</v>
      </c>
    </row>
    <row r="6" spans="1:13" ht="17.850000000000001" customHeight="1" x14ac:dyDescent="0.3">
      <c r="A6" s="46" t="str">
        <v>Vendas</v>
      </c>
      <c r="B6" s="74">
        <f>SUMIFS(Tabela1[Valor],Tabela1[Mês],B$4,Tabela1[Categoria],$A6)</f>
        <v>0</v>
      </c>
      <c r="C6" s="74">
        <f>SUMIFS(Tabela1[Valor],Tabela1[Mês],C$4,Tabela1[Categoria],$A6)</f>
        <v>0</v>
      </c>
      <c r="D6" s="74">
        <f>SUMIFS(Tabela1[Valor],Tabela1[Mês],D$4,Tabela1[Categoria],$A6)</f>
        <v>0</v>
      </c>
      <c r="E6" s="74">
        <f>SUMIFS(Tabela1[Valor],Tabela1[Mês],E$4,Tabela1[Categoria],$A6)</f>
        <v>0</v>
      </c>
      <c r="F6" s="74">
        <f>SUMIFS(Tabela1[Valor],Tabela1[Mês],F$4,Tabela1[Categoria],$A6)</f>
        <v>0</v>
      </c>
      <c r="G6" s="74">
        <f>SUMIFS(Tabela1[Valor],Tabela1[Mês],G$4,Tabela1[Categoria],$A6)</f>
        <v>0</v>
      </c>
      <c r="H6" s="74">
        <f>SUMIFS(Tabela1[Valor],Tabela1[Mês],H$4,Tabela1[Categoria],$A6)</f>
        <v>0</v>
      </c>
      <c r="I6" s="74">
        <f>SUMIFS(Tabela1[Valor],Tabela1[Mês],I$4,Tabela1[Categoria],$A6)</f>
        <v>0</v>
      </c>
      <c r="J6" s="74">
        <f>SUMIFS(Tabela1[Valor],Tabela1[Mês],J$4,Tabela1[Categoria],$A6)</f>
        <v>0</v>
      </c>
      <c r="K6" s="74">
        <f>SUMIFS(Tabela1[Valor],Tabela1[Mês],K$4,Tabela1[Categoria],$A6)</f>
        <v>0</v>
      </c>
      <c r="L6" s="74">
        <f>SUMIFS(Tabela1[Valor],Tabela1[Mês],L$4,Tabela1[Categoria],$A6)</f>
        <v>0</v>
      </c>
      <c r="M6" s="74">
        <f>SUMIFS(Tabela1[Valor],Tabela1[Mês],M$4,Tabela1[Categoria],$A6)</f>
        <v>0</v>
      </c>
    </row>
    <row r="7" spans="1:13" ht="17.850000000000001" customHeight="1" x14ac:dyDescent="0.3">
      <c r="A7" s="46" t="str">
        <v>Aluguel</v>
      </c>
      <c r="B7" s="74">
        <f>SUMIFS(Tabela1[Valor],Tabela1[Mês],B$4,Tabela1[Categoria],$A7)</f>
        <v>0</v>
      </c>
      <c r="C7" s="74">
        <f>SUMIFS(Tabela1[Valor],Tabela1[Mês],C$4,Tabela1[Categoria],$A7)</f>
        <v>0</v>
      </c>
      <c r="D7" s="74">
        <f>SUMIFS(Tabela1[Valor],Tabela1[Mês],D$4,Tabela1[Categoria],$A7)</f>
        <v>0</v>
      </c>
      <c r="E7" s="74">
        <f>SUMIFS(Tabela1[Valor],Tabela1[Mês],E$4,Tabela1[Categoria],$A7)</f>
        <v>0</v>
      </c>
      <c r="F7" s="74">
        <f>SUMIFS(Tabela1[Valor],Tabela1[Mês],F$4,Tabela1[Categoria],$A7)</f>
        <v>0</v>
      </c>
      <c r="G7" s="74">
        <f>SUMIFS(Tabela1[Valor],Tabela1[Mês],G$4,Tabela1[Categoria],$A7)</f>
        <v>0</v>
      </c>
      <c r="H7" s="74">
        <f>SUMIFS(Tabela1[Valor],Tabela1[Mês],H$4,Tabela1[Categoria],$A7)</f>
        <v>0</v>
      </c>
      <c r="I7" s="74">
        <f>SUMIFS(Tabela1[Valor],Tabela1[Mês],I$4,Tabela1[Categoria],$A7)</f>
        <v>0</v>
      </c>
      <c r="J7" s="74">
        <f>SUMIFS(Tabela1[Valor],Tabela1[Mês],J$4,Tabela1[Categoria],$A7)</f>
        <v>0</v>
      </c>
      <c r="K7" s="74">
        <f>SUMIFS(Tabela1[Valor],Tabela1[Mês],K$4,Tabela1[Categoria],$A7)</f>
        <v>0</v>
      </c>
      <c r="L7" s="74">
        <f>SUMIFS(Tabela1[Valor],Tabela1[Mês],L$4,Tabela1[Categoria],$A7)</f>
        <v>0</v>
      </c>
      <c r="M7" s="74">
        <f>SUMIFS(Tabela1[Valor],Tabela1[Mês],M$4,Tabela1[Categoria],$A7)</f>
        <v>0</v>
      </c>
    </row>
    <row r="8" spans="1:13" ht="17.850000000000001" customHeight="1" x14ac:dyDescent="0.3">
      <c r="A8" s="46" t="str">
        <v>Rendimentos</v>
      </c>
      <c r="B8" s="74">
        <f>SUMIFS(Tabela1[Valor],Tabela1[Mês],B$4,Tabela1[Categoria],$A8)</f>
        <v>0</v>
      </c>
      <c r="C8" s="74">
        <f>SUMIFS(Tabela1[Valor],Tabela1[Mês],C$4,Tabela1[Categoria],$A8)</f>
        <v>0</v>
      </c>
      <c r="D8" s="74">
        <f>SUMIFS(Tabela1[Valor],Tabela1[Mês],D$4,Tabela1[Categoria],$A8)</f>
        <v>0</v>
      </c>
      <c r="E8" s="74">
        <f>SUMIFS(Tabela1[Valor],Tabela1[Mês],E$4,Tabela1[Categoria],$A8)</f>
        <v>0</v>
      </c>
      <c r="F8" s="74">
        <f>SUMIFS(Tabela1[Valor],Tabela1[Mês],F$4,Tabela1[Categoria],$A8)</f>
        <v>0</v>
      </c>
      <c r="G8" s="74">
        <f>SUMIFS(Tabela1[Valor],Tabela1[Mês],G$4,Tabela1[Categoria],$A8)</f>
        <v>0</v>
      </c>
      <c r="H8" s="74">
        <f>SUMIFS(Tabela1[Valor],Tabela1[Mês],H$4,Tabela1[Categoria],$A8)</f>
        <v>0</v>
      </c>
      <c r="I8" s="74">
        <f>SUMIFS(Tabela1[Valor],Tabela1[Mês],I$4,Tabela1[Categoria],$A8)</f>
        <v>0</v>
      </c>
      <c r="J8" s="74">
        <f>SUMIFS(Tabela1[Valor],Tabela1[Mês],J$4,Tabela1[Categoria],$A8)</f>
        <v>0</v>
      </c>
      <c r="K8" s="74">
        <f>SUMIFS(Tabela1[Valor],Tabela1[Mês],K$4,Tabela1[Categoria],$A8)</f>
        <v>0</v>
      </c>
      <c r="L8" s="74">
        <f>SUMIFS(Tabela1[Valor],Tabela1[Mês],L$4,Tabela1[Categoria],$A8)</f>
        <v>0</v>
      </c>
      <c r="M8" s="74">
        <f>SUMIFS(Tabela1[Valor],Tabela1[Mês],M$4,Tabela1[Categoria],$A8)</f>
        <v>0</v>
      </c>
    </row>
    <row r="9" spans="1:13" ht="17.850000000000001" customHeight="1" x14ac:dyDescent="0.3">
      <c r="A9" s="46" t="str">
        <v>Receitas Outros</v>
      </c>
      <c r="B9" s="74">
        <f>SUMIFS(Tabela1[Valor],Tabela1[Mês],B$4,Tabela1[Categoria],$A9)</f>
        <v>0</v>
      </c>
      <c r="C9" s="74">
        <f>SUMIFS(Tabela1[Valor],Tabela1[Mês],C$4,Tabela1[Categoria],$A9)</f>
        <v>0</v>
      </c>
      <c r="D9" s="74">
        <f>SUMIFS(Tabela1[Valor],Tabela1[Mês],D$4,Tabela1[Categoria],$A9)</f>
        <v>0</v>
      </c>
      <c r="E9" s="74">
        <f>SUMIFS(Tabela1[Valor],Tabela1[Mês],E$4,Tabela1[Categoria],$A9)</f>
        <v>0</v>
      </c>
      <c r="F9" s="74">
        <f>SUMIFS(Tabela1[Valor],Tabela1[Mês],F$4,Tabela1[Categoria],$A9)</f>
        <v>0</v>
      </c>
      <c r="G9" s="74">
        <f>SUMIFS(Tabela1[Valor],Tabela1[Mês],G$4,Tabela1[Categoria],$A9)</f>
        <v>0</v>
      </c>
      <c r="H9" s="74">
        <f>SUMIFS(Tabela1[Valor],Tabela1[Mês],H$4,Tabela1[Categoria],$A9)</f>
        <v>0</v>
      </c>
      <c r="I9" s="74">
        <f>SUMIFS(Tabela1[Valor],Tabela1[Mês],I$4,Tabela1[Categoria],$A9)</f>
        <v>0</v>
      </c>
      <c r="J9" s="74">
        <f>SUMIFS(Tabela1[Valor],Tabela1[Mês],J$4,Tabela1[Categoria],$A9)</f>
        <v>0</v>
      </c>
      <c r="K9" s="74">
        <f>SUMIFS(Tabela1[Valor],Tabela1[Mês],K$4,Tabela1[Categoria],$A9)</f>
        <v>0</v>
      </c>
      <c r="L9" s="74">
        <f>SUMIFS(Tabela1[Valor],Tabela1[Mês],L$4,Tabela1[Categoria],$A9)</f>
        <v>0</v>
      </c>
      <c r="M9" s="74">
        <f>SUMIFS(Tabela1[Valor],Tabela1[Mês],M$4,Tabela1[Categoria],$A9)</f>
        <v>0</v>
      </c>
    </row>
    <row r="10" spans="1:13" ht="17.850000000000001" customHeight="1" x14ac:dyDescent="0.3">
      <c r="A10" s="46" t="str">
        <v>Inss</v>
      </c>
      <c r="B10" s="74">
        <f>SUMIFS(Tabela1[Valor],Tabela1[Mês],B$4,Tabela1[Categoria],$A10)</f>
        <v>0</v>
      </c>
      <c r="C10" s="74">
        <f>SUMIFS(Tabela1[Valor],Tabela1[Mês],C$4,Tabela1[Categoria],$A10)</f>
        <v>0</v>
      </c>
      <c r="D10" s="74">
        <f>SUMIFS(Tabela1[Valor],Tabela1[Mês],D$4,Tabela1[Categoria],$A10)</f>
        <v>0</v>
      </c>
      <c r="E10" s="74">
        <f>SUMIFS(Tabela1[Valor],Tabela1[Mês],E$4,Tabela1[Categoria],$A10)</f>
        <v>0</v>
      </c>
      <c r="F10" s="74">
        <f>SUMIFS(Tabela1[Valor],Tabela1[Mês],F$4,Tabela1[Categoria],$A10)</f>
        <v>0</v>
      </c>
      <c r="G10" s="74">
        <f>SUMIFS(Tabela1[Valor],Tabela1[Mês],G$4,Tabela1[Categoria],$A10)</f>
        <v>0</v>
      </c>
      <c r="H10" s="74">
        <f>SUMIFS(Tabela1[Valor],Tabela1[Mês],H$4,Tabela1[Categoria],$A10)</f>
        <v>0</v>
      </c>
      <c r="I10" s="74">
        <f>SUMIFS(Tabela1[Valor],Tabela1[Mês],I$4,Tabela1[Categoria],$A10)</f>
        <v>0</v>
      </c>
      <c r="J10" s="74">
        <f>SUMIFS(Tabela1[Valor],Tabela1[Mês],J$4,Tabela1[Categoria],$A10)</f>
        <v>0</v>
      </c>
      <c r="K10" s="74">
        <f>SUMIFS(Tabela1[Valor],Tabela1[Mês],K$4,Tabela1[Categoria],$A10)</f>
        <v>0</v>
      </c>
      <c r="L10" s="74">
        <f>SUMIFS(Tabela1[Valor],Tabela1[Mês],L$4,Tabela1[Categoria],$A10)</f>
        <v>0</v>
      </c>
      <c r="M10" s="74">
        <f>SUMIFS(Tabela1[Valor],Tabela1[Mês],M$4,Tabela1[Categoria],$A10)</f>
        <v>0</v>
      </c>
    </row>
    <row r="11" spans="1:13" ht="17.850000000000001" customHeight="1" x14ac:dyDescent="0.3">
      <c r="A11" s="46" t="str">
        <v>T. Transporte</v>
      </c>
      <c r="B11" s="74">
        <f>SUMIFS(Tabela1[Valor],Tabela1[Mês],B$4,Tabela1[Categoria],$A11)</f>
        <v>0</v>
      </c>
      <c r="C11" s="74">
        <f>SUMIFS(Tabela1[Valor],Tabela1[Mês],C$4,Tabela1[Categoria],$A11)</f>
        <v>0</v>
      </c>
      <c r="D11" s="74">
        <f>SUMIFS(Tabela1[Valor],Tabela1[Mês],D$4,Tabela1[Categoria],$A11)</f>
        <v>0</v>
      </c>
      <c r="E11" s="74">
        <f>SUMIFS(Tabela1[Valor],Tabela1[Mês],E$4,Tabela1[Categoria],$A11)</f>
        <v>0</v>
      </c>
      <c r="F11" s="74">
        <f>SUMIFS(Tabela1[Valor],Tabela1[Mês],F$4,Tabela1[Categoria],$A11)</f>
        <v>0</v>
      </c>
      <c r="G11" s="74">
        <f>SUMIFS(Tabela1[Valor],Tabela1[Mês],G$4,Tabela1[Categoria],$A11)</f>
        <v>0</v>
      </c>
      <c r="H11" s="74">
        <f>SUMIFS(Tabela1[Valor],Tabela1[Mês],H$4,Tabela1[Categoria],$A11)</f>
        <v>0</v>
      </c>
      <c r="I11" s="74">
        <f>SUMIFS(Tabela1[Valor],Tabela1[Mês],I$4,Tabela1[Categoria],$A11)</f>
        <v>0</v>
      </c>
      <c r="J11" s="74">
        <f>SUMIFS(Tabela1[Valor],Tabela1[Mês],J$4,Tabela1[Categoria],$A11)</f>
        <v>0</v>
      </c>
      <c r="K11" s="74">
        <f>SUMIFS(Tabela1[Valor],Tabela1[Mês],K$4,Tabela1[Categoria],$A11)</f>
        <v>0</v>
      </c>
      <c r="L11" s="74">
        <f>SUMIFS(Tabela1[Valor],Tabela1[Mês],L$4,Tabela1[Categoria],$A11)</f>
        <v>0</v>
      </c>
      <c r="M11" s="74">
        <f>SUMIFS(Tabela1[Valor],Tabela1[Mês],M$4,Tabela1[Categoria],$A11)</f>
        <v>0</v>
      </c>
    </row>
    <row r="12" spans="1:13" ht="17.850000000000001" customHeight="1" x14ac:dyDescent="0.3">
      <c r="A12" s="46" t="str">
        <v>Taxa</v>
      </c>
      <c r="B12" s="74">
        <f>SUMIFS(Tabela1[Valor],Tabela1[Mês],B$4,Tabela1[Categoria],$A12)</f>
        <v>0</v>
      </c>
      <c r="C12" s="74">
        <f>SUMIFS(Tabela1[Valor],Tabela1[Mês],C$4,Tabela1[Categoria],$A12)</f>
        <v>0</v>
      </c>
      <c r="D12" s="74">
        <f>SUMIFS(Tabela1[Valor],Tabela1[Mês],D$4,Tabela1[Categoria],$A12)</f>
        <v>0</v>
      </c>
      <c r="E12" s="74">
        <f>SUMIFS(Tabela1[Valor],Tabela1[Mês],E$4,Tabela1[Categoria],$A12)</f>
        <v>0</v>
      </c>
      <c r="F12" s="74">
        <f>SUMIFS(Tabela1[Valor],Tabela1[Mês],F$4,Tabela1[Categoria],$A12)</f>
        <v>0</v>
      </c>
      <c r="G12" s="74">
        <f>SUMIFS(Tabela1[Valor],Tabela1[Mês],G$4,Tabela1[Categoria],$A12)</f>
        <v>0</v>
      </c>
      <c r="H12" s="74">
        <f>SUMIFS(Tabela1[Valor],Tabela1[Mês],H$4,Tabela1[Categoria],$A12)</f>
        <v>0</v>
      </c>
      <c r="I12" s="74">
        <f>SUMIFS(Tabela1[Valor],Tabela1[Mês],I$4,Tabela1[Categoria],$A12)</f>
        <v>0</v>
      </c>
      <c r="J12" s="74">
        <f>SUMIFS(Tabela1[Valor],Tabela1[Mês],J$4,Tabela1[Categoria],$A12)</f>
        <v>0</v>
      </c>
      <c r="K12" s="74">
        <f>SUMIFS(Tabela1[Valor],Tabela1[Mês],K$4,Tabela1[Categoria],$A12)</f>
        <v>0</v>
      </c>
      <c r="L12" s="74">
        <f>SUMIFS(Tabela1[Valor],Tabela1[Mês],L$4,Tabela1[Categoria],$A12)</f>
        <v>0</v>
      </c>
      <c r="M12" s="74">
        <f>SUMIFS(Tabela1[Valor],Tabela1[Mês],M$4,Tabela1[Categoria],$A12)</f>
        <v>0</v>
      </c>
    </row>
    <row r="13" spans="1:13" ht="17.850000000000001" customHeight="1" x14ac:dyDescent="0.3">
      <c r="A13" s="46" t="str">
        <v>Imposto</v>
      </c>
      <c r="B13" s="74">
        <f>SUMIFS(Tabela1[Valor],Tabela1[Mês],B$4,Tabela1[Categoria],$A13)</f>
        <v>0</v>
      </c>
      <c r="C13" s="74">
        <f>SUMIFS(Tabela1[Valor],Tabela1[Mês],C$4,Tabela1[Categoria],$A13)</f>
        <v>0</v>
      </c>
      <c r="D13" s="74">
        <f>SUMIFS(Tabela1[Valor],Tabela1[Mês],D$4,Tabela1[Categoria],$A13)</f>
        <v>0</v>
      </c>
      <c r="E13" s="74">
        <f>SUMIFS(Tabela1[Valor],Tabela1[Mês],E$4,Tabela1[Categoria],$A13)</f>
        <v>0</v>
      </c>
      <c r="F13" s="74">
        <f>SUMIFS(Tabela1[Valor],Tabela1[Mês],F$4,Tabela1[Categoria],$A13)</f>
        <v>0</v>
      </c>
      <c r="G13" s="74">
        <f>SUMIFS(Tabela1[Valor],Tabela1[Mês],G$4,Tabela1[Categoria],$A13)</f>
        <v>0</v>
      </c>
      <c r="H13" s="74">
        <f>SUMIFS(Tabela1[Valor],Tabela1[Mês],H$4,Tabela1[Categoria],$A13)</f>
        <v>0</v>
      </c>
      <c r="I13" s="74">
        <f>SUMIFS(Tabela1[Valor],Tabela1[Mês],I$4,Tabela1[Categoria],$A13)</f>
        <v>0</v>
      </c>
      <c r="J13" s="74">
        <f>SUMIFS(Tabela1[Valor],Tabela1[Mês],J$4,Tabela1[Categoria],$A13)</f>
        <v>0</v>
      </c>
      <c r="K13" s="74">
        <f>SUMIFS(Tabela1[Valor],Tabela1[Mês],K$4,Tabela1[Categoria],$A13)</f>
        <v>0</v>
      </c>
      <c r="L13" s="74">
        <f>SUMIFS(Tabela1[Valor],Tabela1[Mês],L$4,Tabela1[Categoria],$A13)</f>
        <v>0</v>
      </c>
      <c r="M13" s="74">
        <f>SUMIFS(Tabela1[Valor],Tabela1[Mês],M$4,Tabela1[Categoria],$A13)</f>
        <v>0</v>
      </c>
    </row>
    <row r="14" spans="1:13" ht="17.850000000000001" customHeight="1" x14ac:dyDescent="0.3">
      <c r="A14" s="46" t="str">
        <v>Perdas Outros</v>
      </c>
      <c r="B14" s="74">
        <f>SUMIFS(Tabela1[Valor],Tabela1[Mês],B$4,Tabela1[Categoria],$A14)</f>
        <v>0</v>
      </c>
      <c r="C14" s="74">
        <f>SUMIFS(Tabela1[Valor],Tabela1[Mês],C$4,Tabela1[Categoria],$A14)</f>
        <v>0</v>
      </c>
      <c r="D14" s="74">
        <f>SUMIFS(Tabela1[Valor],Tabela1[Mês],D$4,Tabela1[Categoria],$A14)</f>
        <v>0</v>
      </c>
      <c r="E14" s="74">
        <f>SUMIFS(Tabela1[Valor],Tabela1[Mês],E$4,Tabela1[Categoria],$A14)</f>
        <v>0</v>
      </c>
      <c r="F14" s="74">
        <f>SUMIFS(Tabela1[Valor],Tabela1[Mês],F$4,Tabela1[Categoria],$A14)</f>
        <v>0</v>
      </c>
      <c r="G14" s="74">
        <f>SUMIFS(Tabela1[Valor],Tabela1[Mês],G$4,Tabela1[Categoria],$A14)</f>
        <v>0</v>
      </c>
      <c r="H14" s="74">
        <f>SUMIFS(Tabela1[Valor],Tabela1[Mês],H$4,Tabela1[Categoria],$A14)</f>
        <v>0</v>
      </c>
      <c r="I14" s="74">
        <f>SUMIFS(Tabela1[Valor],Tabela1[Mês],I$4,Tabela1[Categoria],$A14)</f>
        <v>0</v>
      </c>
      <c r="J14" s="74">
        <f>SUMIFS(Tabela1[Valor],Tabela1[Mês],J$4,Tabela1[Categoria],$A14)</f>
        <v>0</v>
      </c>
      <c r="K14" s="74">
        <f>SUMIFS(Tabela1[Valor],Tabela1[Mês],K$4,Tabela1[Categoria],$A14)</f>
        <v>0</v>
      </c>
      <c r="L14" s="74">
        <f>SUMIFS(Tabela1[Valor],Tabela1[Mês],L$4,Tabela1[Categoria],$A14)</f>
        <v>0</v>
      </c>
      <c r="M14" s="74">
        <f>SUMIFS(Tabela1[Valor],Tabela1[Mês],M$4,Tabela1[Categoria],$A14)</f>
        <v>0</v>
      </c>
    </row>
    <row r="15" spans="1:13" ht="17.850000000000001" customHeight="1" x14ac:dyDescent="0.3">
      <c r="A15" s="46" t="str">
        <v>CDI</v>
      </c>
      <c r="B15" s="74">
        <f>SUMIFS(Tabela1[Valor],Tabela1[Mês],B$4,Tabela1[Categoria],$A15)</f>
        <v>0</v>
      </c>
      <c r="C15" s="74">
        <f>SUMIFS(Tabela1[Valor],Tabela1[Mês],C$4,Tabela1[Categoria],$A15)</f>
        <v>0</v>
      </c>
      <c r="D15" s="74">
        <f>SUMIFS(Tabela1[Valor],Tabela1[Mês],D$4,Tabela1[Categoria],$A15)</f>
        <v>0</v>
      </c>
      <c r="E15" s="74">
        <f>SUMIFS(Tabela1[Valor],Tabela1[Mês],E$4,Tabela1[Categoria],$A15)</f>
        <v>0</v>
      </c>
      <c r="F15" s="74">
        <f>SUMIFS(Tabela1[Valor],Tabela1[Mês],F$4,Tabela1[Categoria],$A15)</f>
        <v>0</v>
      </c>
      <c r="G15" s="74">
        <f>SUMIFS(Tabela1[Valor],Tabela1[Mês],G$4,Tabela1[Categoria],$A15)</f>
        <v>0</v>
      </c>
      <c r="H15" s="74">
        <f>SUMIFS(Tabela1[Valor],Tabela1[Mês],H$4,Tabela1[Categoria],$A15)</f>
        <v>0</v>
      </c>
      <c r="I15" s="74">
        <f>SUMIFS(Tabela1[Valor],Tabela1[Mês],I$4,Tabela1[Categoria],$A15)</f>
        <v>0</v>
      </c>
      <c r="J15" s="74">
        <f>SUMIFS(Tabela1[Valor],Tabela1[Mês],J$4,Tabela1[Categoria],$A15)</f>
        <v>0</v>
      </c>
      <c r="K15" s="74">
        <f>SUMIFS(Tabela1[Valor],Tabela1[Mês],K$4,Tabela1[Categoria],$A15)</f>
        <v>0</v>
      </c>
      <c r="L15" s="74">
        <f>SUMIFS(Tabela1[Valor],Tabela1[Mês],L$4,Tabela1[Categoria],$A15)</f>
        <v>0</v>
      </c>
      <c r="M15" s="74">
        <f>SUMIFS(Tabela1[Valor],Tabela1[Mês],M$4,Tabela1[Categoria],$A15)</f>
        <v>0</v>
      </c>
    </row>
    <row r="16" spans="1:13" ht="17.850000000000001" customHeight="1" x14ac:dyDescent="0.3">
      <c r="A16" s="46" t="str">
        <v>Tesouro Direto</v>
      </c>
      <c r="B16" s="74">
        <f>SUMIFS(Tabela1[Valor],Tabela1[Mês],B$4,Tabela1[Categoria],$A16)</f>
        <v>0</v>
      </c>
      <c r="C16" s="74">
        <f>SUMIFS(Tabela1[Valor],Tabela1[Mês],C$4,Tabela1[Categoria],$A16)</f>
        <v>0</v>
      </c>
      <c r="D16" s="74">
        <f>SUMIFS(Tabela1[Valor],Tabela1[Mês],D$4,Tabela1[Categoria],$A16)</f>
        <v>0</v>
      </c>
      <c r="E16" s="74">
        <f>SUMIFS(Tabela1[Valor],Tabela1[Mês],E$4,Tabela1[Categoria],$A16)</f>
        <v>0</v>
      </c>
      <c r="F16" s="74">
        <f>SUMIFS(Tabela1[Valor],Tabela1[Mês],F$4,Tabela1[Categoria],$A16)</f>
        <v>0</v>
      </c>
      <c r="G16" s="74">
        <f>SUMIFS(Tabela1[Valor],Tabela1[Mês],G$4,Tabela1[Categoria],$A16)</f>
        <v>0</v>
      </c>
      <c r="H16" s="74">
        <f>SUMIFS(Tabela1[Valor],Tabela1[Mês],H$4,Tabela1[Categoria],$A16)</f>
        <v>0</v>
      </c>
      <c r="I16" s="74">
        <f>SUMIFS(Tabela1[Valor],Tabela1[Mês],I$4,Tabela1[Categoria],$A16)</f>
        <v>0</v>
      </c>
      <c r="J16" s="74">
        <f>SUMIFS(Tabela1[Valor],Tabela1[Mês],J$4,Tabela1[Categoria],$A16)</f>
        <v>0</v>
      </c>
      <c r="K16" s="74">
        <f>SUMIFS(Tabela1[Valor],Tabela1[Mês],K$4,Tabela1[Categoria],$A16)</f>
        <v>0</v>
      </c>
      <c r="L16" s="74">
        <f>SUMIFS(Tabela1[Valor],Tabela1[Mês],L$4,Tabela1[Categoria],$A16)</f>
        <v>0</v>
      </c>
      <c r="M16" s="74">
        <f>SUMIFS(Tabela1[Valor],Tabela1[Mês],M$4,Tabela1[Categoria],$A16)</f>
        <v>0</v>
      </c>
    </row>
    <row r="17" spans="1:13" ht="14.3" customHeight="1" x14ac:dyDescent="0.3"/>
    <row r="18" spans="1:13" ht="17.850000000000001" customHeight="1" x14ac:dyDescent="0.3">
      <c r="A18" s="77" t="s">
        <v>8</v>
      </c>
      <c r="B18" s="2">
        <f>ROUND(SUM(B5:B9)-SUM(B10:B16),2)+B21+B2</f>
        <v>150</v>
      </c>
      <c r="C18" s="2">
        <f t="shared" ref="C18:M18" si="0">ROUND(SUM(C5:C9)-SUM(C10:C16),2)</f>
        <v>0</v>
      </c>
      <c r="D18" s="2">
        <f t="shared" si="0"/>
        <v>0</v>
      </c>
      <c r="E18" s="2">
        <f t="shared" si="0"/>
        <v>0</v>
      </c>
      <c r="F18" s="2">
        <f t="shared" si="0"/>
        <v>0</v>
      </c>
      <c r="G18" s="2">
        <f t="shared" si="0"/>
        <v>0</v>
      </c>
      <c r="H18" s="2">
        <f t="shared" si="0"/>
        <v>0</v>
      </c>
      <c r="I18" s="2">
        <f t="shared" si="0"/>
        <v>0</v>
      </c>
      <c r="J18" s="2">
        <f t="shared" si="0"/>
        <v>0</v>
      </c>
      <c r="K18" s="2">
        <f t="shared" si="0"/>
        <v>0</v>
      </c>
      <c r="L18" s="2">
        <f t="shared" si="0"/>
        <v>0</v>
      </c>
      <c r="M18" s="2">
        <f t="shared" si="0"/>
        <v>0</v>
      </c>
    </row>
    <row r="20" spans="1:13" ht="18.55" hidden="1" customHeight="1" x14ac:dyDescent="0.3">
      <c r="A20" s="46" t="str">
        <f>A12</f>
        <v>Taxa</v>
      </c>
      <c r="B20" s="2">
        <f>ROUND(IF((SUM(B5:B9) - SUM(B10:B11,B13:B14)) &gt; 10, (SUM(B5:B9) - SUM(B10:B11,B13:B14))*0.1, )-B12,2)</f>
        <v>15</v>
      </c>
      <c r="C20" s="2">
        <f t="shared" ref="C20:L20" si="1">ROUND(IF((SUM(C5:C9) - SUM(C10:C11,C13:C14)) &gt; 10, (SUM(C5:C9) - SUM(C10:C11,C13:C14))*0.1, )-C12,2)</f>
        <v>0</v>
      </c>
      <c r="D20" s="2">
        <f t="shared" si="1"/>
        <v>0</v>
      </c>
      <c r="E20" s="2">
        <f t="shared" si="1"/>
        <v>0</v>
      </c>
      <c r="F20" s="2">
        <f t="shared" si="1"/>
        <v>0</v>
      </c>
      <c r="G20" s="2">
        <f t="shared" si="1"/>
        <v>0</v>
      </c>
      <c r="H20" s="2">
        <f t="shared" si="1"/>
        <v>0</v>
      </c>
      <c r="I20" s="2">
        <f t="shared" si="1"/>
        <v>0</v>
      </c>
      <c r="J20" s="2">
        <f t="shared" si="1"/>
        <v>0</v>
      </c>
      <c r="K20" s="2">
        <f t="shared" si="1"/>
        <v>0</v>
      </c>
      <c r="L20" s="2">
        <f t="shared" si="1"/>
        <v>0</v>
      </c>
      <c r="M20" s="2">
        <f>ROUND(IF((SUM(M5:M9) - SUM(M10:M11,M13:M14)) &gt; 10, (SUM(M5:M9) - SUM(M10:M11,M13:M14))*0.1, )-M12,2)</f>
        <v>0</v>
      </c>
    </row>
    <row r="21" spans="1:13" x14ac:dyDescent="0.3">
      <c r="B21" s="10"/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1:N20"/>
  <sheetViews>
    <sheetView zoomScale="120" zoomScaleNormal="120" workbookViewId="0">
      <pane xSplit="1" topLeftCell="B1" activePane="topRight" state="frozen"/>
      <selection activeCell="A4" sqref="A4"/>
      <selection pane="topRight" activeCell="A7" sqref="A7"/>
    </sheetView>
  </sheetViews>
  <sheetFormatPr defaultRowHeight="15" x14ac:dyDescent="0.3"/>
  <cols>
    <col min="1" max="1" width="17.85546875" style="49" customWidth="1"/>
    <col min="2" max="13" width="15" style="49" customWidth="1"/>
    <col min="14" max="14" width="10.5703125" style="49" bestFit="1" customWidth="1"/>
    <col min="15" max="15" width="12.42578125" style="49" bestFit="1" customWidth="1"/>
    <col min="16" max="17" width="10.5703125" style="49" bestFit="1" customWidth="1"/>
    <col min="18" max="16384" width="9.140625" style="49"/>
  </cols>
  <sheetData>
    <row r="1" spans="1:13" ht="15" customHeight="1" x14ac:dyDescent="0.3"/>
    <row r="2" spans="1:13" s="47" customFormat="1" ht="17.850000000000001" customHeight="1" x14ac:dyDescent="0.3">
      <c r="A2" s="49"/>
      <c r="B2" s="76" t="str" cm="1">
        <f t="array" ref="B2:M2">TRANSPOSE(Meses)</f>
        <v>Janeiro</v>
      </c>
      <c r="C2" s="76" t="str">
        <v>Fevereiro</v>
      </c>
      <c r="D2" s="76" t="str">
        <v>Março</v>
      </c>
      <c r="E2" s="76" t="str">
        <v>Abril</v>
      </c>
      <c r="F2" s="76" t="str">
        <v>Maio</v>
      </c>
      <c r="G2" s="76" t="str">
        <v>Junho</v>
      </c>
      <c r="H2" s="76" t="str">
        <v>Julho</v>
      </c>
      <c r="I2" s="76" t="str">
        <v>Agosto</v>
      </c>
      <c r="J2" s="76" t="str">
        <v>Setembro</v>
      </c>
      <c r="K2" s="76" t="str">
        <v>Outubro</v>
      </c>
      <c r="L2" s="76" t="str">
        <v>Novembro</v>
      </c>
      <c r="M2" s="76" t="str">
        <v>Dezembro</v>
      </c>
    </row>
    <row r="3" spans="1:13" s="48" customFormat="1" ht="15" customHeight="1" x14ac:dyDescent="0.3">
      <c r="A3" s="78" t="s">
        <v>15</v>
      </c>
      <c r="B3" s="74">
        <f>'Receita Líquida'!B18</f>
        <v>150</v>
      </c>
      <c r="C3" s="74">
        <f>'Receita Líquida'!C18</f>
        <v>0</v>
      </c>
      <c r="D3" s="74">
        <f>'Receita Líquida'!D18</f>
        <v>0</v>
      </c>
      <c r="E3" s="74">
        <f>'Receita Líquida'!E18</f>
        <v>0</v>
      </c>
      <c r="F3" s="74">
        <f>'Receita Líquida'!F18</f>
        <v>0</v>
      </c>
      <c r="G3" s="74">
        <f>'Receita Líquida'!G18</f>
        <v>0</v>
      </c>
      <c r="H3" s="74">
        <f>'Receita Líquida'!H18</f>
        <v>0</v>
      </c>
      <c r="I3" s="74">
        <f>'Receita Líquida'!I18</f>
        <v>0</v>
      </c>
      <c r="J3" s="74">
        <f>'Receita Líquida'!J18</f>
        <v>0</v>
      </c>
      <c r="K3" s="74">
        <f>'Receita Líquida'!K18</f>
        <v>0</v>
      </c>
      <c r="L3" s="74">
        <f>'Receita Líquida'!L18</f>
        <v>0</v>
      </c>
      <c r="M3" s="74">
        <f>'Receita Líquida'!M18</f>
        <v>0</v>
      </c>
    </row>
    <row r="4" spans="1:13" ht="15" customHeight="1" x14ac:dyDescent="0.3">
      <c r="A4" s="78" t="s">
        <v>4</v>
      </c>
      <c r="B4" s="75">
        <f>B3-(SUM(B7:B18))</f>
        <v>150</v>
      </c>
      <c r="C4" s="75">
        <f>C3-(SUM(C7:C18))+B4</f>
        <v>150</v>
      </c>
      <c r="D4" s="75">
        <f t="shared" ref="D4:M4" si="0">D3-(SUM(D7:D18))+C4</f>
        <v>150</v>
      </c>
      <c r="E4" s="75">
        <f t="shared" si="0"/>
        <v>150</v>
      </c>
      <c r="F4" s="75">
        <f t="shared" si="0"/>
        <v>150</v>
      </c>
      <c r="G4" s="75">
        <f t="shared" si="0"/>
        <v>150</v>
      </c>
      <c r="H4" s="75">
        <f t="shared" si="0"/>
        <v>150</v>
      </c>
      <c r="I4" s="75">
        <f t="shared" si="0"/>
        <v>150</v>
      </c>
      <c r="J4" s="75">
        <f t="shared" si="0"/>
        <v>150</v>
      </c>
      <c r="K4" s="75">
        <f t="shared" si="0"/>
        <v>150</v>
      </c>
      <c r="L4" s="75">
        <f t="shared" si="0"/>
        <v>150</v>
      </c>
      <c r="M4" s="75">
        <f t="shared" si="0"/>
        <v>150</v>
      </c>
    </row>
    <row r="5" spans="1:13" ht="15" customHeight="1" x14ac:dyDescent="0.3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3" ht="15" customHeight="1" x14ac:dyDescent="0.3">
      <c r="A6" s="76" t="s">
        <v>13</v>
      </c>
      <c r="B6" s="76" t="s">
        <v>25</v>
      </c>
      <c r="C6" s="76" t="s">
        <v>25</v>
      </c>
      <c r="D6" s="76" t="s">
        <v>25</v>
      </c>
      <c r="E6" s="76" t="s">
        <v>25</v>
      </c>
      <c r="F6" s="76" t="s">
        <v>25</v>
      </c>
      <c r="G6" s="76" t="s">
        <v>25</v>
      </c>
      <c r="H6" s="76" t="s">
        <v>25</v>
      </c>
      <c r="I6" s="76" t="s">
        <v>25</v>
      </c>
      <c r="J6" s="76" t="s">
        <v>25</v>
      </c>
      <c r="K6" s="76" t="s">
        <v>25</v>
      </c>
      <c r="L6" s="76" t="s">
        <v>25</v>
      </c>
      <c r="M6" s="76" t="s">
        <v>25</v>
      </c>
    </row>
    <row r="7" spans="1:13" ht="15" customHeight="1" x14ac:dyDescent="0.3">
      <c r="A7" s="27" t="str" cm="1">
        <f t="array" ref="A7:A18">Despesas</f>
        <v>Alimentação</v>
      </c>
      <c r="B7" s="74">
        <f>SUMIFS(Tabela1[Valor],Tabela1[Mês],'Despesas Gerais'!B$2,Tabela1[Categoria],'Despesas Gerais'!$A7)</f>
        <v>0</v>
      </c>
      <c r="C7" s="74">
        <f>SUMIFS(Tabela1[Valor],Tabela1[Mês],'Despesas Gerais'!C$2,Tabela1[Categoria],'Despesas Gerais'!$A7)</f>
        <v>0</v>
      </c>
      <c r="D7" s="74">
        <f>SUMIFS(Tabela1[Valor],Tabela1[Mês],'Despesas Gerais'!D$2,Tabela1[Categoria],'Despesas Gerais'!$A7)</f>
        <v>0</v>
      </c>
      <c r="E7" s="74">
        <f>SUMIFS(Tabela1[Valor],Tabela1[Mês],'Despesas Gerais'!E$2,Tabela1[Categoria],'Despesas Gerais'!$A7)</f>
        <v>0</v>
      </c>
      <c r="F7" s="74">
        <f>SUMIFS(Tabela1[Valor],Tabela1[Mês],'Despesas Gerais'!F$2,Tabela1[Categoria],'Despesas Gerais'!$A7)</f>
        <v>0</v>
      </c>
      <c r="G7" s="74">
        <f>SUMIFS(Tabela1[Valor],Tabela1[Mês],'Despesas Gerais'!G$2,Tabela1[Categoria],'Despesas Gerais'!$A7)</f>
        <v>0</v>
      </c>
      <c r="H7" s="74">
        <f>SUMIFS(Tabela1[Valor],Tabela1[Mês],'Despesas Gerais'!H$2,Tabela1[Categoria],'Despesas Gerais'!$A7)</f>
        <v>0</v>
      </c>
      <c r="I7" s="74">
        <f>SUMIFS(Tabela1[Valor],Tabela1[Mês],'Despesas Gerais'!I$2,Tabela1[Categoria],'Despesas Gerais'!$A7)</f>
        <v>0</v>
      </c>
      <c r="J7" s="74">
        <f>SUMIFS(Tabela1[Valor],Tabela1[Mês],'Despesas Gerais'!J$2,Tabela1[Categoria],'Despesas Gerais'!$A7)</f>
        <v>0</v>
      </c>
      <c r="K7" s="74">
        <f>SUMIFS(Tabela1[Valor],Tabela1[Mês],'Despesas Gerais'!K$2,Tabela1[Categoria],'Despesas Gerais'!$A7)</f>
        <v>0</v>
      </c>
      <c r="L7" s="74">
        <f>SUMIFS(Tabela1[Valor],Tabela1[Mês],'Despesas Gerais'!L$2,Tabela1[Categoria],'Despesas Gerais'!$A7)</f>
        <v>0</v>
      </c>
      <c r="M7" s="74">
        <f>SUMIFS(Tabela1[Valor],Tabela1[Mês],'Despesas Gerais'!M$2,Tabela1[Categoria],'Despesas Gerais'!$A7)</f>
        <v>0</v>
      </c>
    </row>
    <row r="8" spans="1:13" ht="15" customHeight="1" x14ac:dyDescent="0.3">
      <c r="A8" s="27" t="str">
        <v>Transp./ Carro</v>
      </c>
      <c r="B8" s="74">
        <f>SUMIFS(Tabela1[Valor],Tabela1[Mês],'Despesas Gerais'!B$2,Tabela1[Categoria],'Despesas Gerais'!$A8)</f>
        <v>0</v>
      </c>
      <c r="C8" s="74">
        <f>SUMIFS(Tabela1[Valor],Tabela1[Mês],'Despesas Gerais'!C$2,Tabela1[Categoria],'Despesas Gerais'!$A8)</f>
        <v>0</v>
      </c>
      <c r="D8" s="74">
        <f>SUMIFS(Tabela1[Valor],Tabela1[Mês],'Despesas Gerais'!D$2,Tabela1[Categoria],'Despesas Gerais'!$A8)</f>
        <v>0</v>
      </c>
      <c r="E8" s="74">
        <f>SUMIFS(Tabela1[Valor],Tabela1[Mês],'Despesas Gerais'!E$2,Tabela1[Categoria],'Despesas Gerais'!$A8)</f>
        <v>0</v>
      </c>
      <c r="F8" s="74">
        <f>SUMIFS(Tabela1[Valor],Tabela1[Mês],'Despesas Gerais'!F$2,Tabela1[Categoria],'Despesas Gerais'!$A8)</f>
        <v>0</v>
      </c>
      <c r="G8" s="74">
        <f>SUMIFS(Tabela1[Valor],Tabela1[Mês],'Despesas Gerais'!G$2,Tabela1[Categoria],'Despesas Gerais'!$A8)</f>
        <v>0</v>
      </c>
      <c r="H8" s="74">
        <f>SUMIFS(Tabela1[Valor],Tabela1[Mês],'Despesas Gerais'!H$2,Tabela1[Categoria],'Despesas Gerais'!$A8)</f>
        <v>0</v>
      </c>
      <c r="I8" s="74">
        <f>SUMIFS(Tabela1[Valor],Tabela1[Mês],'Despesas Gerais'!I$2,Tabela1[Categoria],'Despesas Gerais'!$A8)</f>
        <v>0</v>
      </c>
      <c r="J8" s="74">
        <f>SUMIFS(Tabela1[Valor],Tabela1[Mês],'Despesas Gerais'!J$2,Tabela1[Categoria],'Despesas Gerais'!$A8)</f>
        <v>0</v>
      </c>
      <c r="K8" s="74">
        <f>SUMIFS(Tabela1[Valor],Tabela1[Mês],'Despesas Gerais'!K$2,Tabela1[Categoria],'Despesas Gerais'!$A8)</f>
        <v>0</v>
      </c>
      <c r="L8" s="74">
        <f>SUMIFS(Tabela1[Valor],Tabela1[Mês],'Despesas Gerais'!L$2,Tabela1[Categoria],'Despesas Gerais'!$A8)</f>
        <v>0</v>
      </c>
      <c r="M8" s="74">
        <f>SUMIFS(Tabela1[Valor],Tabela1[Mês],'Despesas Gerais'!M$2,Tabela1[Categoria],'Despesas Gerais'!$A8)</f>
        <v>0</v>
      </c>
    </row>
    <row r="9" spans="1:13" ht="15" customHeight="1" x14ac:dyDescent="0.3">
      <c r="A9" s="27" t="str">
        <v>Condomínio</v>
      </c>
      <c r="B9" s="74">
        <f>SUMIFS(Tabela1[Valor],Tabela1[Mês],'Despesas Gerais'!B$2,Tabela1[Categoria],'Despesas Gerais'!$A9)</f>
        <v>0</v>
      </c>
      <c r="C9" s="74">
        <f>SUMIFS(Tabela1[Valor],Tabela1[Mês],'Despesas Gerais'!C$2,Tabela1[Categoria],'Despesas Gerais'!$A9)</f>
        <v>0</v>
      </c>
      <c r="D9" s="74">
        <f>SUMIFS(Tabela1[Valor],Tabela1[Mês],'Despesas Gerais'!D$2,Tabela1[Categoria],'Despesas Gerais'!$A9)</f>
        <v>0</v>
      </c>
      <c r="E9" s="74">
        <f>SUMIFS(Tabela1[Valor],Tabela1[Mês],'Despesas Gerais'!E$2,Tabela1[Categoria],'Despesas Gerais'!$A9)</f>
        <v>0</v>
      </c>
      <c r="F9" s="74">
        <f>SUMIFS(Tabela1[Valor],Tabela1[Mês],'Despesas Gerais'!F$2,Tabela1[Categoria],'Despesas Gerais'!$A9)</f>
        <v>0</v>
      </c>
      <c r="G9" s="74">
        <f>SUMIFS(Tabela1[Valor],Tabela1[Mês],'Despesas Gerais'!G$2,Tabela1[Categoria],'Despesas Gerais'!$A9)</f>
        <v>0</v>
      </c>
      <c r="H9" s="74">
        <f>SUMIFS(Tabela1[Valor],Tabela1[Mês],'Despesas Gerais'!H$2,Tabela1[Categoria],'Despesas Gerais'!$A9)</f>
        <v>0</v>
      </c>
      <c r="I9" s="74">
        <f>SUMIFS(Tabela1[Valor],Tabela1[Mês],'Despesas Gerais'!I$2,Tabela1[Categoria],'Despesas Gerais'!$A9)</f>
        <v>0</v>
      </c>
      <c r="J9" s="74">
        <f>SUMIFS(Tabela1[Valor],Tabela1[Mês],'Despesas Gerais'!J$2,Tabela1[Categoria],'Despesas Gerais'!$A9)</f>
        <v>0</v>
      </c>
      <c r="K9" s="74">
        <f>SUMIFS(Tabela1[Valor],Tabela1[Mês],'Despesas Gerais'!K$2,Tabela1[Categoria],'Despesas Gerais'!$A9)</f>
        <v>0</v>
      </c>
      <c r="L9" s="74">
        <f>SUMIFS(Tabela1[Valor],Tabela1[Mês],'Despesas Gerais'!L$2,Tabela1[Categoria],'Despesas Gerais'!$A9)</f>
        <v>0</v>
      </c>
      <c r="M9" s="74">
        <f>SUMIFS(Tabela1[Valor],Tabela1[Mês],'Despesas Gerais'!M$2,Tabela1[Categoria],'Despesas Gerais'!$A9)</f>
        <v>0</v>
      </c>
    </row>
    <row r="10" spans="1:13" ht="15" customHeight="1" x14ac:dyDescent="0.3">
      <c r="A10" s="27" t="str">
        <v>Curso</v>
      </c>
      <c r="B10" s="74">
        <f>SUMIFS(Tabela1[Valor],Tabela1[Mês],'Despesas Gerais'!B$2,Tabela1[Categoria],'Despesas Gerais'!$A10)</f>
        <v>0</v>
      </c>
      <c r="C10" s="74">
        <f>SUMIFS(Tabela1[Valor],Tabela1[Mês],'Despesas Gerais'!C$2,Tabela1[Categoria],'Despesas Gerais'!$A10)</f>
        <v>0</v>
      </c>
      <c r="D10" s="74">
        <f>SUMIFS(Tabela1[Valor],Tabela1[Mês],'Despesas Gerais'!D$2,Tabela1[Categoria],'Despesas Gerais'!$A10)</f>
        <v>0</v>
      </c>
      <c r="E10" s="74">
        <f>SUMIFS(Tabela1[Valor],Tabela1[Mês],'Despesas Gerais'!E$2,Tabela1[Categoria],'Despesas Gerais'!$A10)</f>
        <v>0</v>
      </c>
      <c r="F10" s="74">
        <f>SUMIFS(Tabela1[Valor],Tabela1[Mês],'Despesas Gerais'!F$2,Tabela1[Categoria],'Despesas Gerais'!$A10)</f>
        <v>0</v>
      </c>
      <c r="G10" s="74">
        <f>SUMIFS(Tabela1[Valor],Tabela1[Mês],'Despesas Gerais'!G$2,Tabela1[Categoria],'Despesas Gerais'!$A10)</f>
        <v>0</v>
      </c>
      <c r="H10" s="74">
        <f>SUMIFS(Tabela1[Valor],Tabela1[Mês],'Despesas Gerais'!H$2,Tabela1[Categoria],'Despesas Gerais'!$A10)</f>
        <v>0</v>
      </c>
      <c r="I10" s="74">
        <f>SUMIFS(Tabela1[Valor],Tabela1[Mês],'Despesas Gerais'!I$2,Tabela1[Categoria],'Despesas Gerais'!$A10)</f>
        <v>0</v>
      </c>
      <c r="J10" s="74">
        <f>SUMIFS(Tabela1[Valor],Tabela1[Mês],'Despesas Gerais'!J$2,Tabela1[Categoria],'Despesas Gerais'!$A10)</f>
        <v>0</v>
      </c>
      <c r="K10" s="74">
        <f>SUMIFS(Tabela1[Valor],Tabela1[Mês],'Despesas Gerais'!K$2,Tabela1[Categoria],'Despesas Gerais'!$A10)</f>
        <v>0</v>
      </c>
      <c r="L10" s="74">
        <f>SUMIFS(Tabela1[Valor],Tabela1[Mês],'Despesas Gerais'!L$2,Tabela1[Categoria],'Despesas Gerais'!$A10)</f>
        <v>0</v>
      </c>
      <c r="M10" s="74">
        <f>SUMIFS(Tabela1[Valor],Tabela1[Mês],'Despesas Gerais'!M$2,Tabela1[Categoria],'Despesas Gerais'!$A10)</f>
        <v>0</v>
      </c>
    </row>
    <row r="11" spans="1:13" ht="15" customHeight="1" x14ac:dyDescent="0.3">
      <c r="A11" s="27" t="str">
        <v>Eletrônicos</v>
      </c>
      <c r="B11" s="74">
        <f>SUMIFS(Tabela1[Valor],Tabela1[Mês],'Despesas Gerais'!B$2,Tabela1[Categoria],'Despesas Gerais'!$A11)</f>
        <v>0</v>
      </c>
      <c r="C11" s="74">
        <f>SUMIFS(Tabela1[Valor],Tabela1[Mês],'Despesas Gerais'!C$2,Tabela1[Categoria],'Despesas Gerais'!$A11)</f>
        <v>0</v>
      </c>
      <c r="D11" s="74">
        <f>SUMIFS(Tabela1[Valor],Tabela1[Mês],'Despesas Gerais'!D$2,Tabela1[Categoria],'Despesas Gerais'!$A11)</f>
        <v>0</v>
      </c>
      <c r="E11" s="74">
        <f>SUMIFS(Tabela1[Valor],Tabela1[Mês],'Despesas Gerais'!E$2,Tabela1[Categoria],'Despesas Gerais'!$A11)</f>
        <v>0</v>
      </c>
      <c r="F11" s="74">
        <f>SUMIFS(Tabela1[Valor],Tabela1[Mês],'Despesas Gerais'!F$2,Tabela1[Categoria],'Despesas Gerais'!$A11)</f>
        <v>0</v>
      </c>
      <c r="G11" s="74">
        <f>SUMIFS(Tabela1[Valor],Tabela1[Mês],'Despesas Gerais'!G$2,Tabela1[Categoria],'Despesas Gerais'!$A11)</f>
        <v>0</v>
      </c>
      <c r="H11" s="74">
        <f>SUMIFS(Tabela1[Valor],Tabela1[Mês],'Despesas Gerais'!H$2,Tabela1[Categoria],'Despesas Gerais'!$A11)</f>
        <v>0</v>
      </c>
      <c r="I11" s="74">
        <f>SUMIFS(Tabela1[Valor],Tabela1[Mês],'Despesas Gerais'!I$2,Tabela1[Categoria],'Despesas Gerais'!$A11)</f>
        <v>0</v>
      </c>
      <c r="J11" s="74">
        <f>SUMIFS(Tabela1[Valor],Tabela1[Mês],'Despesas Gerais'!J$2,Tabela1[Categoria],'Despesas Gerais'!$A11)</f>
        <v>0</v>
      </c>
      <c r="K11" s="74">
        <f>SUMIFS(Tabela1[Valor],Tabela1[Mês],'Despesas Gerais'!K$2,Tabela1[Categoria],'Despesas Gerais'!$A11)</f>
        <v>0</v>
      </c>
      <c r="L11" s="74">
        <f>SUMIFS(Tabela1[Valor],Tabela1[Mês],'Despesas Gerais'!L$2,Tabela1[Categoria],'Despesas Gerais'!$A11)</f>
        <v>0</v>
      </c>
      <c r="M11" s="74">
        <f>SUMIFS(Tabela1[Valor],Tabela1[Mês],'Despesas Gerais'!M$2,Tabela1[Categoria],'Despesas Gerais'!$A11)</f>
        <v>0</v>
      </c>
    </row>
    <row r="12" spans="1:13" ht="15" customHeight="1" x14ac:dyDescent="0.3">
      <c r="A12" s="27" t="str">
        <v>Farm. e Saúde.</v>
      </c>
      <c r="B12" s="74">
        <f>SUMIFS(Tabela1[Valor],Tabela1[Mês],'Despesas Gerais'!B$2,Tabela1[Categoria],'Despesas Gerais'!$A12)</f>
        <v>0</v>
      </c>
      <c r="C12" s="74">
        <f>SUMIFS(Tabela1[Valor],Tabela1[Mês],'Despesas Gerais'!C$2,Tabela1[Categoria],'Despesas Gerais'!$A12)</f>
        <v>0</v>
      </c>
      <c r="D12" s="74">
        <f>SUMIFS(Tabela1[Valor],Tabela1[Mês],'Despesas Gerais'!D$2,Tabela1[Categoria],'Despesas Gerais'!$A12)</f>
        <v>0</v>
      </c>
      <c r="E12" s="74">
        <f>SUMIFS(Tabela1[Valor],Tabela1[Mês],'Despesas Gerais'!E$2,Tabela1[Categoria],'Despesas Gerais'!$A12)</f>
        <v>0</v>
      </c>
      <c r="F12" s="74">
        <f>SUMIFS(Tabela1[Valor],Tabela1[Mês],'Despesas Gerais'!F$2,Tabela1[Categoria],'Despesas Gerais'!$A12)</f>
        <v>0</v>
      </c>
      <c r="G12" s="74">
        <f>SUMIFS(Tabela1[Valor],Tabela1[Mês],'Despesas Gerais'!G$2,Tabela1[Categoria],'Despesas Gerais'!$A12)</f>
        <v>0</v>
      </c>
      <c r="H12" s="74">
        <f>SUMIFS(Tabela1[Valor],Tabela1[Mês],'Despesas Gerais'!H$2,Tabela1[Categoria],'Despesas Gerais'!$A12)</f>
        <v>0</v>
      </c>
      <c r="I12" s="74">
        <f>SUMIFS(Tabela1[Valor],Tabela1[Mês],'Despesas Gerais'!I$2,Tabela1[Categoria],'Despesas Gerais'!$A12)</f>
        <v>0</v>
      </c>
      <c r="J12" s="74">
        <f>SUMIFS(Tabela1[Valor],Tabela1[Mês],'Despesas Gerais'!J$2,Tabela1[Categoria],'Despesas Gerais'!$A12)</f>
        <v>0</v>
      </c>
      <c r="K12" s="74">
        <f>SUMIFS(Tabela1[Valor],Tabela1[Mês],'Despesas Gerais'!K$2,Tabela1[Categoria],'Despesas Gerais'!$A12)</f>
        <v>0</v>
      </c>
      <c r="L12" s="74">
        <f>SUMIFS(Tabela1[Valor],Tabela1[Mês],'Despesas Gerais'!L$2,Tabela1[Categoria],'Despesas Gerais'!$A12)</f>
        <v>0</v>
      </c>
      <c r="M12" s="74">
        <f>SUMIFS(Tabela1[Valor],Tabela1[Mês],'Despesas Gerais'!M$2,Tabela1[Categoria],'Despesas Gerais'!$A12)</f>
        <v>0</v>
      </c>
    </row>
    <row r="13" spans="1:13" ht="15" customHeight="1" x14ac:dyDescent="0.3">
      <c r="A13" s="27" t="str">
        <v>G. Residencial</v>
      </c>
      <c r="B13" s="74">
        <f>SUMIFS(Tabela1[Valor],Tabela1[Mês],'Despesas Gerais'!B$2,Tabela1[Categoria],'Despesas Gerais'!$A13)</f>
        <v>0</v>
      </c>
      <c r="C13" s="74">
        <f>SUMIFS(Tabela1[Valor],Tabela1[Mês],'Despesas Gerais'!C$2,Tabela1[Categoria],'Despesas Gerais'!$A13)</f>
        <v>0</v>
      </c>
      <c r="D13" s="74">
        <f>SUMIFS(Tabela1[Valor],Tabela1[Mês],'Despesas Gerais'!D$2,Tabela1[Categoria],'Despesas Gerais'!$A13)</f>
        <v>0</v>
      </c>
      <c r="E13" s="74">
        <f>SUMIFS(Tabela1[Valor],Tabela1[Mês],'Despesas Gerais'!E$2,Tabela1[Categoria],'Despesas Gerais'!$A13)</f>
        <v>0</v>
      </c>
      <c r="F13" s="74">
        <f>SUMIFS(Tabela1[Valor],Tabela1[Mês],'Despesas Gerais'!F$2,Tabela1[Categoria],'Despesas Gerais'!$A13)</f>
        <v>0</v>
      </c>
      <c r="G13" s="74">
        <f>SUMIFS(Tabela1[Valor],Tabela1[Mês],'Despesas Gerais'!G$2,Tabela1[Categoria],'Despesas Gerais'!$A13)</f>
        <v>0</v>
      </c>
      <c r="H13" s="74">
        <f>SUMIFS(Tabela1[Valor],Tabela1[Mês],'Despesas Gerais'!H$2,Tabela1[Categoria],'Despesas Gerais'!$A13)</f>
        <v>0</v>
      </c>
      <c r="I13" s="74">
        <f>SUMIFS(Tabela1[Valor],Tabela1[Mês],'Despesas Gerais'!I$2,Tabela1[Categoria],'Despesas Gerais'!$A13)</f>
        <v>0</v>
      </c>
      <c r="J13" s="74">
        <f>SUMIFS(Tabela1[Valor],Tabela1[Mês],'Despesas Gerais'!J$2,Tabela1[Categoria],'Despesas Gerais'!$A13)</f>
        <v>0</v>
      </c>
      <c r="K13" s="74">
        <f>SUMIFS(Tabela1[Valor],Tabela1[Mês],'Despesas Gerais'!K$2,Tabela1[Categoria],'Despesas Gerais'!$A13)</f>
        <v>0</v>
      </c>
      <c r="L13" s="74">
        <f>SUMIFS(Tabela1[Valor],Tabela1[Mês],'Despesas Gerais'!L$2,Tabela1[Categoria],'Despesas Gerais'!$A13)</f>
        <v>0</v>
      </c>
      <c r="M13" s="74">
        <f>SUMIFS(Tabela1[Valor],Tabela1[Mês],'Despesas Gerais'!M$2,Tabela1[Categoria],'Despesas Gerais'!$A13)</f>
        <v>0</v>
      </c>
    </row>
    <row r="14" spans="1:13" ht="15" customHeight="1" x14ac:dyDescent="0.3">
      <c r="A14" s="27" t="str">
        <v>Gasolina</v>
      </c>
      <c r="B14" s="74">
        <f>SUMIFS(Tabela1[Valor],Tabela1[Mês],'Despesas Gerais'!B$2,Tabela1[Categoria],'Despesas Gerais'!$A14)</f>
        <v>0</v>
      </c>
      <c r="C14" s="74">
        <f>SUMIFS(Tabela1[Valor],Tabela1[Mês],'Despesas Gerais'!C$2,Tabela1[Categoria],'Despesas Gerais'!$A14)</f>
        <v>0</v>
      </c>
      <c r="D14" s="74">
        <f>SUMIFS(Tabela1[Valor],Tabela1[Mês],'Despesas Gerais'!D$2,Tabela1[Categoria],'Despesas Gerais'!$A14)</f>
        <v>0</v>
      </c>
      <c r="E14" s="74">
        <f>SUMIFS(Tabela1[Valor],Tabela1[Mês],'Despesas Gerais'!E$2,Tabela1[Categoria],'Despesas Gerais'!$A14)</f>
        <v>0</v>
      </c>
      <c r="F14" s="74">
        <f>SUMIFS(Tabela1[Valor],Tabela1[Mês],'Despesas Gerais'!F$2,Tabela1[Categoria],'Despesas Gerais'!$A14)</f>
        <v>0</v>
      </c>
      <c r="G14" s="74">
        <f>SUMIFS(Tabela1[Valor],Tabela1[Mês],'Despesas Gerais'!G$2,Tabela1[Categoria],'Despesas Gerais'!$A14)</f>
        <v>0</v>
      </c>
      <c r="H14" s="74">
        <f>SUMIFS(Tabela1[Valor],Tabela1[Mês],'Despesas Gerais'!H$2,Tabela1[Categoria],'Despesas Gerais'!$A14)</f>
        <v>0</v>
      </c>
      <c r="I14" s="74">
        <f>SUMIFS(Tabela1[Valor],Tabela1[Mês],'Despesas Gerais'!I$2,Tabela1[Categoria],'Despesas Gerais'!$A14)</f>
        <v>0</v>
      </c>
      <c r="J14" s="74">
        <f>SUMIFS(Tabela1[Valor],Tabela1[Mês],'Despesas Gerais'!J$2,Tabela1[Categoria],'Despesas Gerais'!$A14)</f>
        <v>0</v>
      </c>
      <c r="K14" s="74">
        <f>SUMIFS(Tabela1[Valor],Tabela1[Mês],'Despesas Gerais'!K$2,Tabela1[Categoria],'Despesas Gerais'!$A14)</f>
        <v>0</v>
      </c>
      <c r="L14" s="74">
        <f>SUMIFS(Tabela1[Valor],Tabela1[Mês],'Despesas Gerais'!L$2,Tabela1[Categoria],'Despesas Gerais'!$A14)</f>
        <v>0</v>
      </c>
      <c r="M14" s="74">
        <f>SUMIFS(Tabela1[Valor],Tabela1[Mês],'Despesas Gerais'!M$2,Tabela1[Categoria],'Despesas Gerais'!$A14)</f>
        <v>0</v>
      </c>
    </row>
    <row r="15" spans="1:13" ht="15" customHeight="1" x14ac:dyDescent="0.3">
      <c r="A15" s="27" t="str">
        <v>Jogos/ Livros</v>
      </c>
      <c r="B15" s="74">
        <f>SUMIFS(Tabela1[Valor],Tabela1[Mês],'Despesas Gerais'!B$2,Tabela1[Categoria],'Despesas Gerais'!$A15)</f>
        <v>0</v>
      </c>
      <c r="C15" s="74">
        <f>SUMIFS(Tabela1[Valor],Tabela1[Mês],'Despesas Gerais'!C$2,Tabela1[Categoria],'Despesas Gerais'!$A15)</f>
        <v>0</v>
      </c>
      <c r="D15" s="74">
        <f>SUMIFS(Tabela1[Valor],Tabela1[Mês],'Despesas Gerais'!D$2,Tabela1[Categoria],'Despesas Gerais'!$A15)</f>
        <v>0</v>
      </c>
      <c r="E15" s="74">
        <f>SUMIFS(Tabela1[Valor],Tabela1[Mês],'Despesas Gerais'!E$2,Tabela1[Categoria],'Despesas Gerais'!$A15)</f>
        <v>0</v>
      </c>
      <c r="F15" s="74">
        <f>SUMIFS(Tabela1[Valor],Tabela1[Mês],'Despesas Gerais'!F$2,Tabela1[Categoria],'Despesas Gerais'!$A15)</f>
        <v>0</v>
      </c>
      <c r="G15" s="74">
        <f>SUMIFS(Tabela1[Valor],Tabela1[Mês],'Despesas Gerais'!G$2,Tabela1[Categoria],'Despesas Gerais'!$A15)</f>
        <v>0</v>
      </c>
      <c r="H15" s="74">
        <f>SUMIFS(Tabela1[Valor],Tabela1[Mês],'Despesas Gerais'!H$2,Tabela1[Categoria],'Despesas Gerais'!$A15)</f>
        <v>0</v>
      </c>
      <c r="I15" s="74">
        <f>SUMIFS(Tabela1[Valor],Tabela1[Mês],'Despesas Gerais'!I$2,Tabela1[Categoria],'Despesas Gerais'!$A15)</f>
        <v>0</v>
      </c>
      <c r="J15" s="74">
        <f>SUMIFS(Tabela1[Valor],Tabela1[Mês],'Despesas Gerais'!J$2,Tabela1[Categoria],'Despesas Gerais'!$A15)</f>
        <v>0</v>
      </c>
      <c r="K15" s="74">
        <f>SUMIFS(Tabela1[Valor],Tabela1[Mês],'Despesas Gerais'!K$2,Tabela1[Categoria],'Despesas Gerais'!$A15)</f>
        <v>0</v>
      </c>
      <c r="L15" s="74">
        <f>SUMIFS(Tabela1[Valor],Tabela1[Mês],'Despesas Gerais'!L$2,Tabela1[Categoria],'Despesas Gerais'!$A15)</f>
        <v>0</v>
      </c>
      <c r="M15" s="74">
        <f>SUMIFS(Tabela1[Valor],Tabela1[Mês],'Despesas Gerais'!M$2,Tabela1[Categoria],'Despesas Gerais'!$A15)</f>
        <v>0</v>
      </c>
    </row>
    <row r="16" spans="1:13" ht="15" customHeight="1" x14ac:dyDescent="0.3">
      <c r="A16" s="27" t="str">
        <v>Rolê/ Entret.</v>
      </c>
      <c r="B16" s="74">
        <f>SUMIFS(Tabela1[Valor],Tabela1[Mês],'Despesas Gerais'!B$2,Tabela1[Categoria],'Despesas Gerais'!$A16)</f>
        <v>0</v>
      </c>
      <c r="C16" s="74">
        <f>SUMIFS(Tabela1[Valor],Tabela1[Mês],'Despesas Gerais'!C$2,Tabela1[Categoria],'Despesas Gerais'!$A16)</f>
        <v>0</v>
      </c>
      <c r="D16" s="74">
        <f>SUMIFS(Tabela1[Valor],Tabela1[Mês],'Despesas Gerais'!D$2,Tabela1[Categoria],'Despesas Gerais'!$A16)</f>
        <v>0</v>
      </c>
      <c r="E16" s="74">
        <f>SUMIFS(Tabela1[Valor],Tabela1[Mês],'Despesas Gerais'!E$2,Tabela1[Categoria],'Despesas Gerais'!$A16)</f>
        <v>0</v>
      </c>
      <c r="F16" s="74">
        <f>SUMIFS(Tabela1[Valor],Tabela1[Mês],'Despesas Gerais'!F$2,Tabela1[Categoria],'Despesas Gerais'!$A16)</f>
        <v>0</v>
      </c>
      <c r="G16" s="74">
        <f>SUMIFS(Tabela1[Valor],Tabela1[Mês],'Despesas Gerais'!G$2,Tabela1[Categoria],'Despesas Gerais'!$A16)</f>
        <v>0</v>
      </c>
      <c r="H16" s="74">
        <f>SUMIFS(Tabela1[Valor],Tabela1[Mês],'Despesas Gerais'!H$2,Tabela1[Categoria],'Despesas Gerais'!$A16)</f>
        <v>0</v>
      </c>
      <c r="I16" s="74">
        <f>SUMIFS(Tabela1[Valor],Tabela1[Mês],'Despesas Gerais'!I$2,Tabela1[Categoria],'Despesas Gerais'!$A16)</f>
        <v>0</v>
      </c>
      <c r="J16" s="74">
        <f>SUMIFS(Tabela1[Valor],Tabela1[Mês],'Despesas Gerais'!J$2,Tabela1[Categoria],'Despesas Gerais'!$A16)</f>
        <v>0</v>
      </c>
      <c r="K16" s="74">
        <f>SUMIFS(Tabela1[Valor],Tabela1[Mês],'Despesas Gerais'!K$2,Tabela1[Categoria],'Despesas Gerais'!$A16)</f>
        <v>0</v>
      </c>
      <c r="L16" s="74">
        <f>SUMIFS(Tabela1[Valor],Tabela1[Mês],'Despesas Gerais'!L$2,Tabela1[Categoria],'Despesas Gerais'!$A16)</f>
        <v>0</v>
      </c>
      <c r="M16" s="74">
        <f>SUMIFS(Tabela1[Valor],Tabela1[Mês],'Despesas Gerais'!M$2,Tabela1[Categoria],'Despesas Gerais'!$A16)</f>
        <v>0</v>
      </c>
    </row>
    <row r="17" spans="1:14" ht="15" customHeight="1" x14ac:dyDescent="0.3">
      <c r="A17" s="27" t="str">
        <v>Roupas</v>
      </c>
      <c r="B17" s="74">
        <f>SUMIFS(Tabela1[Valor],Tabela1[Mês],'Despesas Gerais'!B$2,Tabela1[Categoria],'Despesas Gerais'!$A17)</f>
        <v>0</v>
      </c>
      <c r="C17" s="74">
        <f>SUMIFS(Tabela1[Valor],Tabela1[Mês],'Despesas Gerais'!C$2,Tabela1[Categoria],'Despesas Gerais'!$A17)</f>
        <v>0</v>
      </c>
      <c r="D17" s="74">
        <f>SUMIFS(Tabela1[Valor],Tabela1[Mês],'Despesas Gerais'!D$2,Tabela1[Categoria],'Despesas Gerais'!$A17)</f>
        <v>0</v>
      </c>
      <c r="E17" s="74">
        <f>SUMIFS(Tabela1[Valor],Tabela1[Mês],'Despesas Gerais'!E$2,Tabela1[Categoria],'Despesas Gerais'!$A17)</f>
        <v>0</v>
      </c>
      <c r="F17" s="74">
        <f>SUMIFS(Tabela1[Valor],Tabela1[Mês],'Despesas Gerais'!F$2,Tabela1[Categoria],'Despesas Gerais'!$A17)</f>
        <v>0</v>
      </c>
      <c r="G17" s="74">
        <f>SUMIFS(Tabela1[Valor],Tabela1[Mês],'Despesas Gerais'!G$2,Tabela1[Categoria],'Despesas Gerais'!$A17)</f>
        <v>0</v>
      </c>
      <c r="H17" s="74">
        <f>SUMIFS(Tabela1[Valor],Tabela1[Mês],'Despesas Gerais'!H$2,Tabela1[Categoria],'Despesas Gerais'!$A17)</f>
        <v>0</v>
      </c>
      <c r="I17" s="74">
        <f>SUMIFS(Tabela1[Valor],Tabela1[Mês],'Despesas Gerais'!I$2,Tabela1[Categoria],'Despesas Gerais'!$A17)</f>
        <v>0</v>
      </c>
      <c r="J17" s="74">
        <f>SUMIFS(Tabela1[Valor],Tabela1[Mês],'Despesas Gerais'!J$2,Tabela1[Categoria],'Despesas Gerais'!$A17)</f>
        <v>0</v>
      </c>
      <c r="K17" s="74">
        <f>SUMIFS(Tabela1[Valor],Tabela1[Mês],'Despesas Gerais'!K$2,Tabela1[Categoria],'Despesas Gerais'!$A17)</f>
        <v>0</v>
      </c>
      <c r="L17" s="74">
        <f>SUMIFS(Tabela1[Valor],Tabela1[Mês],'Despesas Gerais'!L$2,Tabela1[Categoria],'Despesas Gerais'!$A17)</f>
        <v>0</v>
      </c>
      <c r="M17" s="74">
        <f>SUMIFS(Tabela1[Valor],Tabela1[Mês],'Despesas Gerais'!M$2,Tabela1[Categoria],'Despesas Gerais'!$A17)</f>
        <v>0</v>
      </c>
    </row>
    <row r="18" spans="1:14" ht="15" customHeight="1" x14ac:dyDescent="0.3">
      <c r="A18" s="27" t="str">
        <v>G. Gerais</v>
      </c>
      <c r="B18" s="74">
        <f>SUMIFS(Tabela1[Valor],Tabela1[Mês],'Despesas Gerais'!B$2,Tabela1[Categoria],'Despesas Gerais'!$A18)</f>
        <v>0</v>
      </c>
      <c r="C18" s="74">
        <f>SUMIFS(Tabela1[Valor],Tabela1[Mês],'Despesas Gerais'!C$2,Tabela1[Categoria],'Despesas Gerais'!$A18)</f>
        <v>0</v>
      </c>
      <c r="D18" s="74">
        <f>SUMIFS(Tabela1[Valor],Tabela1[Mês],'Despesas Gerais'!D$2,Tabela1[Categoria],'Despesas Gerais'!$A18)</f>
        <v>0</v>
      </c>
      <c r="E18" s="74">
        <f>SUMIFS(Tabela1[Valor],Tabela1[Mês],'Despesas Gerais'!E$2,Tabela1[Categoria],'Despesas Gerais'!$A18)</f>
        <v>0</v>
      </c>
      <c r="F18" s="74">
        <f>SUMIFS(Tabela1[Valor],Tabela1[Mês],'Despesas Gerais'!F$2,Tabela1[Categoria],'Despesas Gerais'!$A18)</f>
        <v>0</v>
      </c>
      <c r="G18" s="74">
        <f>SUMIFS(Tabela1[Valor],Tabela1[Mês],'Despesas Gerais'!G$2,Tabela1[Categoria],'Despesas Gerais'!$A18)</f>
        <v>0</v>
      </c>
      <c r="H18" s="74">
        <f>SUMIFS(Tabela1[Valor],Tabela1[Mês],'Despesas Gerais'!H$2,Tabela1[Categoria],'Despesas Gerais'!$A18)</f>
        <v>0</v>
      </c>
      <c r="I18" s="74">
        <f>SUMIFS(Tabela1[Valor],Tabela1[Mês],'Despesas Gerais'!I$2,Tabela1[Categoria],'Despesas Gerais'!$A18)</f>
        <v>0</v>
      </c>
      <c r="J18" s="74">
        <f>SUMIFS(Tabela1[Valor],Tabela1[Mês],'Despesas Gerais'!J$2,Tabela1[Categoria],'Despesas Gerais'!$A18)</f>
        <v>0</v>
      </c>
      <c r="K18" s="74">
        <f>SUMIFS(Tabela1[Valor],Tabela1[Mês],'Despesas Gerais'!K$2,Tabela1[Categoria],'Despesas Gerais'!$A18)</f>
        <v>0</v>
      </c>
      <c r="L18" s="74">
        <f>SUMIFS(Tabela1[Valor],Tabela1[Mês],'Despesas Gerais'!L$2,Tabela1[Categoria],'Despesas Gerais'!$A18)</f>
        <v>0</v>
      </c>
      <c r="M18" s="74">
        <f>SUMIFS(Tabela1[Valor],Tabela1[Mês],'Despesas Gerais'!M$2,Tabela1[Categoria],'Despesas Gerais'!$A18)</f>
        <v>0</v>
      </c>
    </row>
    <row r="19" spans="1:14" ht="15" customHeight="1" x14ac:dyDescent="0.3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</row>
    <row r="20" spans="1:14" s="48" customFormat="1" ht="17.850000000000001" customHeight="1" x14ac:dyDescent="0.3">
      <c r="A20" s="76" t="s">
        <v>2</v>
      </c>
      <c r="B20" s="50">
        <f t="shared" ref="B20:M20" si="1">SUM(B7:B18)</f>
        <v>0</v>
      </c>
      <c r="C20" s="50">
        <f t="shared" si="1"/>
        <v>0</v>
      </c>
      <c r="D20" s="50">
        <f t="shared" si="1"/>
        <v>0</v>
      </c>
      <c r="E20" s="50">
        <f t="shared" si="1"/>
        <v>0</v>
      </c>
      <c r="F20" s="50">
        <f t="shared" si="1"/>
        <v>0</v>
      </c>
      <c r="G20" s="50">
        <f t="shared" si="1"/>
        <v>0</v>
      </c>
      <c r="H20" s="50">
        <f t="shared" si="1"/>
        <v>0</v>
      </c>
      <c r="I20" s="50">
        <f t="shared" si="1"/>
        <v>0</v>
      </c>
      <c r="J20" s="50">
        <f t="shared" si="1"/>
        <v>0</v>
      </c>
      <c r="K20" s="50">
        <f t="shared" si="1"/>
        <v>0</v>
      </c>
      <c r="L20" s="50">
        <f t="shared" si="1"/>
        <v>0</v>
      </c>
      <c r="M20" s="50">
        <f t="shared" si="1"/>
        <v>0</v>
      </c>
      <c r="N20" s="51"/>
    </row>
  </sheetData>
  <sortState xmlns:xlrd2="http://schemas.microsoft.com/office/spreadsheetml/2017/richdata2" ref="A7:A17">
    <sortCondition ref="A7:A17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conditionalFormatting sqref="N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Normal="100" workbookViewId="0"/>
  </sheetViews>
  <sheetFormatPr defaultRowHeight="14.3" x14ac:dyDescent="0.25"/>
  <cols>
    <col min="1" max="1" width="15" style="1" customWidth="1"/>
    <col min="2" max="2" width="5.7109375" style="1" customWidth="1"/>
    <col min="3" max="4" width="15" style="1" customWidth="1"/>
    <col min="5" max="5" width="5.7109375" style="1" customWidth="1"/>
    <col min="6" max="6" width="15" style="1" customWidth="1"/>
    <col min="7" max="7" width="5.7109375" style="1" customWidth="1"/>
    <col min="8" max="8" width="15.140625" style="1" customWidth="1"/>
    <col min="9" max="9" width="15" style="1" customWidth="1"/>
    <col min="10" max="10" width="5.7109375" style="1" customWidth="1"/>
    <col min="11" max="11" width="15" style="1" customWidth="1"/>
    <col min="12" max="12" width="15.7109375" style="1" customWidth="1"/>
    <col min="13" max="13" width="5.7109375" style="1" customWidth="1"/>
    <col min="14" max="15" width="15" style="1" customWidth="1"/>
    <col min="16" max="16" width="9.140625" style="1"/>
    <col min="17" max="17" width="0.85546875" style="1" customWidth="1"/>
    <col min="18" max="19" width="9.140625" style="1"/>
    <col min="20" max="20" width="14" style="1" customWidth="1"/>
    <col min="21" max="21" width="5.5703125" style="1" customWidth="1"/>
    <col min="22" max="16384" width="9.140625" style="1"/>
  </cols>
  <sheetData>
    <row r="1" spans="1:16" ht="15" thickBot="1" x14ac:dyDescent="0.3"/>
    <row r="2" spans="1:16" ht="15" x14ac:dyDescent="0.3">
      <c r="A2" s="4" t="s">
        <v>0</v>
      </c>
      <c r="B2" s="5"/>
      <c r="C2" s="13" t="s">
        <v>19</v>
      </c>
      <c r="D2" s="14" t="s">
        <v>3</v>
      </c>
      <c r="E2" s="5"/>
      <c r="F2" s="4" t="s">
        <v>1</v>
      </c>
      <c r="G2" s="5"/>
      <c r="H2" s="11" t="s">
        <v>17</v>
      </c>
      <c r="I2" s="12" t="s">
        <v>40</v>
      </c>
      <c r="J2" s="3"/>
      <c r="K2" s="80" t="s">
        <v>24</v>
      </c>
      <c r="L2" s="81"/>
      <c r="M2" s="37"/>
      <c r="N2" s="80" t="s">
        <v>7</v>
      </c>
      <c r="O2" s="81"/>
      <c r="P2" s="38"/>
    </row>
    <row r="3" spans="1:16" ht="15" x14ac:dyDescent="0.3">
      <c r="A3" s="6" t="str" cm="1">
        <f t="array" ref="A3:A14">Meses</f>
        <v>Janeiro</v>
      </c>
      <c r="B3" s="5"/>
      <c r="C3" s="15">
        <f>'Receita Líquida'!B18</f>
        <v>150</v>
      </c>
      <c r="D3" s="16">
        <f>SUM('Receita Líquida'!B$15:B$16)</f>
        <v>0</v>
      </c>
      <c r="E3" s="7"/>
      <c r="F3" s="21">
        <f>SUM('Despesas Gerais'!B20:B20)</f>
        <v>0</v>
      </c>
      <c r="G3" s="8"/>
      <c r="H3" s="15">
        <f>I3</f>
        <v>150</v>
      </c>
      <c r="I3" s="18">
        <f>'Despesas Gerais'!B4</f>
        <v>150</v>
      </c>
      <c r="J3" s="3"/>
      <c r="K3" s="40" t="s">
        <v>14</v>
      </c>
      <c r="L3" s="16">
        <f>SUM('Receita Líquida'!B5:M9)</f>
        <v>150</v>
      </c>
      <c r="M3" s="7"/>
      <c r="N3" s="42" t="str" cm="1">
        <f t="array" ref="N3:N14">Despesas</f>
        <v>Alimentação</v>
      </c>
      <c r="O3" s="43">
        <f>SUM('Despesas Gerais'!B7:M7)</f>
        <v>0</v>
      </c>
      <c r="P3" s="38"/>
    </row>
    <row r="4" spans="1:16" ht="15" x14ac:dyDescent="0.3">
      <c r="A4" s="6" t="str">
        <v>Fevereiro</v>
      </c>
      <c r="B4" s="5"/>
      <c r="C4" s="15">
        <f>'Receita Líquida'!C18</f>
        <v>0</v>
      </c>
      <c r="D4" s="16">
        <f>SUM('Receita Líquida'!C$15:C$16)</f>
        <v>0</v>
      </c>
      <c r="E4" s="7"/>
      <c r="F4" s="21">
        <f>SUM('Despesas Gerais'!C20:C20)</f>
        <v>0</v>
      </c>
      <c r="G4" s="8"/>
      <c r="H4" s="15">
        <f t="shared" ref="H4:H14" si="0">I4-I3</f>
        <v>0</v>
      </c>
      <c r="I4" s="18">
        <f>'Despesas Gerais'!C4</f>
        <v>150</v>
      </c>
      <c r="J4" s="3"/>
      <c r="K4" s="40" t="s">
        <v>10</v>
      </c>
      <c r="L4" s="16">
        <f>SUM('Receita Líquida'!B10:M14)</f>
        <v>0</v>
      </c>
      <c r="M4" s="7"/>
      <c r="N4" s="42" t="str">
        <v>Transp./ Carro</v>
      </c>
      <c r="O4" s="43">
        <f>SUM('Despesas Gerais'!B8:M8)</f>
        <v>0</v>
      </c>
      <c r="P4" s="38"/>
    </row>
    <row r="5" spans="1:16" ht="15" x14ac:dyDescent="0.3">
      <c r="A5" s="6" t="str">
        <v>Março</v>
      </c>
      <c r="B5" s="5"/>
      <c r="C5" s="15">
        <f>'Receita Líquida'!D18</f>
        <v>0</v>
      </c>
      <c r="D5" s="16">
        <f>SUM('Receita Líquida'!D$15:D$16)</f>
        <v>0</v>
      </c>
      <c r="E5" s="7"/>
      <c r="F5" s="21">
        <f>SUM('Despesas Gerais'!D20:D20)</f>
        <v>0</v>
      </c>
      <c r="G5" s="8"/>
      <c r="H5" s="15">
        <f t="shared" si="0"/>
        <v>0</v>
      </c>
      <c r="I5" s="18">
        <f>'Despesas Gerais'!D4</f>
        <v>150</v>
      </c>
      <c r="J5" s="3"/>
      <c r="K5" s="40" t="s">
        <v>16</v>
      </c>
      <c r="L5" s="16">
        <f>SUM('Receita Líquida'!B18:M18)</f>
        <v>150</v>
      </c>
      <c r="M5" s="7"/>
      <c r="N5" s="42" t="str">
        <v>Condomínio</v>
      </c>
      <c r="O5" s="43">
        <f>SUM('Despesas Gerais'!B9:M9)</f>
        <v>0</v>
      </c>
      <c r="P5" s="38"/>
    </row>
    <row r="6" spans="1:16" ht="15" x14ac:dyDescent="0.3">
      <c r="A6" s="6" t="str">
        <v>Abril</v>
      </c>
      <c r="B6" s="5"/>
      <c r="C6" s="15">
        <f>'Receita Líquida'!E18</f>
        <v>0</v>
      </c>
      <c r="D6" s="16">
        <f>SUM('Receita Líquida'!E$15:E$16)</f>
        <v>0</v>
      </c>
      <c r="E6" s="7"/>
      <c r="F6" s="21">
        <f>SUM('Despesas Gerais'!E20:E20)</f>
        <v>0</v>
      </c>
      <c r="G6" s="8"/>
      <c r="H6" s="15">
        <f t="shared" si="0"/>
        <v>0</v>
      </c>
      <c r="I6" s="18">
        <f>'Despesas Gerais'!E4</f>
        <v>150</v>
      </c>
      <c r="J6" s="3"/>
      <c r="K6" s="40" t="s">
        <v>23</v>
      </c>
      <c r="L6" s="16">
        <f>SUM('Despesas Gerais'!B7:B17,'Despesas Gerais'!C7:C17,'Despesas Gerais'!D7:D17,'Despesas Gerais'!E7:E17,'Despesas Gerais'!F7:F17,'Despesas Gerais'!G7:G17,'Despesas Gerais'!H7:H17,'Despesas Gerais'!I7:I17,'Despesas Gerais'!J7:J17,'Despesas Gerais'!K7:K17,'Despesas Gerais'!L7:L17,'Despesas Gerais'!M7:M17)</f>
        <v>0</v>
      </c>
      <c r="M6" s="7"/>
      <c r="N6" s="42" t="str">
        <v>Curso</v>
      </c>
      <c r="O6" s="43">
        <f>SUM('Despesas Gerais'!B10:M10)</f>
        <v>0</v>
      </c>
      <c r="P6" s="38"/>
    </row>
    <row r="7" spans="1:16" ht="15" x14ac:dyDescent="0.3">
      <c r="A7" s="6" t="str">
        <v>Maio</v>
      </c>
      <c r="B7" s="5"/>
      <c r="C7" s="15">
        <f>'Receita Líquida'!F18</f>
        <v>0</v>
      </c>
      <c r="D7" s="16">
        <f>SUM('Receita Líquida'!F$15:F$16)</f>
        <v>0</v>
      </c>
      <c r="E7" s="7"/>
      <c r="F7" s="21">
        <f>SUM('Despesas Gerais'!F20:F20)</f>
        <v>0</v>
      </c>
      <c r="G7" s="8"/>
      <c r="H7" s="15">
        <f t="shared" si="0"/>
        <v>0</v>
      </c>
      <c r="I7" s="18">
        <f>'Despesas Gerais'!F4</f>
        <v>150</v>
      </c>
      <c r="J7" s="3"/>
      <c r="K7" s="40" t="s">
        <v>18</v>
      </c>
      <c r="L7" s="16">
        <f>SUM('Despesas Gerais'!B18:B18,'Despesas Gerais'!C18:C18,'Despesas Gerais'!D18:D18,'Despesas Gerais'!E18:E18,'Despesas Gerais'!F18:F18,'Despesas Gerais'!G18:G18,'Despesas Gerais'!H18:H18,'Despesas Gerais'!I18:I18,'Despesas Gerais'!J18:J18,'Despesas Gerais'!K18:K18,'Despesas Gerais'!L18:L18,'Despesas Gerais'!M18:M18)</f>
        <v>0</v>
      </c>
      <c r="M7" s="7"/>
      <c r="N7" s="42" t="str">
        <v>Eletrônicos</v>
      </c>
      <c r="O7" s="43">
        <f>SUM('Despesas Gerais'!B11:M11)</f>
        <v>0</v>
      </c>
      <c r="P7" s="38"/>
    </row>
    <row r="8" spans="1:16" ht="15" x14ac:dyDescent="0.3">
      <c r="A8" s="6" t="str">
        <v>Junho</v>
      </c>
      <c r="B8" s="5"/>
      <c r="C8" s="15">
        <f>'Receita Líquida'!G18</f>
        <v>0</v>
      </c>
      <c r="D8" s="16">
        <f>SUM('Receita Líquida'!G$15:G$16)</f>
        <v>0</v>
      </c>
      <c r="E8" s="7"/>
      <c r="F8" s="21">
        <f>SUM('Despesas Gerais'!G20:G20)</f>
        <v>0</v>
      </c>
      <c r="G8" s="8"/>
      <c r="H8" s="15">
        <f t="shared" si="0"/>
        <v>0</v>
      </c>
      <c r="I8" s="18">
        <f>'Despesas Gerais'!G4</f>
        <v>150</v>
      </c>
      <c r="J8" s="3"/>
      <c r="K8" s="40" t="s">
        <v>22</v>
      </c>
      <c r="L8" s="16">
        <f>SUM(L6:L7)</f>
        <v>0</v>
      </c>
      <c r="M8" s="7"/>
      <c r="N8" s="42" t="str">
        <v>Farm. e Saúde.</v>
      </c>
      <c r="O8" s="43">
        <f>SUM('Despesas Gerais'!B12:M12)</f>
        <v>0</v>
      </c>
      <c r="P8" s="38"/>
    </row>
    <row r="9" spans="1:16" ht="15" x14ac:dyDescent="0.3">
      <c r="A9" s="6" t="str">
        <v>Julho</v>
      </c>
      <c r="B9" s="5"/>
      <c r="C9" s="15">
        <f>'Receita Líquida'!H18</f>
        <v>0</v>
      </c>
      <c r="D9" s="16">
        <f>SUM('Receita Líquida'!H$15:H$16)</f>
        <v>0</v>
      </c>
      <c r="E9" s="7"/>
      <c r="F9" s="21">
        <f>SUM('Despesas Gerais'!H20:H20)</f>
        <v>0</v>
      </c>
      <c r="G9" s="8"/>
      <c r="H9" s="15">
        <f t="shared" si="0"/>
        <v>0</v>
      </c>
      <c r="I9" s="18">
        <f>'Despesas Gerais'!H4</f>
        <v>150</v>
      </c>
      <c r="J9" s="3"/>
      <c r="K9" s="40" t="s">
        <v>12</v>
      </c>
      <c r="L9" s="18">
        <f>'Despesas Gerais'!M4</f>
        <v>150</v>
      </c>
      <c r="M9" s="8"/>
      <c r="N9" s="42" t="str">
        <v>G. Residencial</v>
      </c>
      <c r="O9" s="43">
        <f>SUM('Despesas Gerais'!B13:M13)</f>
        <v>0</v>
      </c>
      <c r="P9" s="38"/>
    </row>
    <row r="10" spans="1:16" ht="15.7" thickBot="1" x14ac:dyDescent="0.35">
      <c r="A10" s="6" t="str">
        <v>Agosto</v>
      </c>
      <c r="B10" s="5"/>
      <c r="C10" s="15">
        <f>'Receita Líquida'!I18</f>
        <v>0</v>
      </c>
      <c r="D10" s="16">
        <f>SUM('Receita Líquida'!I$15:I$16)</f>
        <v>0</v>
      </c>
      <c r="E10" s="7"/>
      <c r="F10" s="21">
        <f>SUM('Despesas Gerais'!I20:I20)</f>
        <v>0</v>
      </c>
      <c r="G10" s="8"/>
      <c r="H10" s="15">
        <f t="shared" si="0"/>
        <v>0</v>
      </c>
      <c r="I10" s="18">
        <f>'Despesas Gerais'!I4</f>
        <v>150</v>
      </c>
      <c r="J10" s="3"/>
      <c r="K10" s="41" t="s">
        <v>9</v>
      </c>
      <c r="L10" s="20">
        <f>'Gráfico Anual'!D15</f>
        <v>0</v>
      </c>
      <c r="M10" s="8"/>
      <c r="N10" s="42" t="str">
        <v>Gasolina</v>
      </c>
      <c r="O10" s="43">
        <f>SUM('Despesas Gerais'!B14:M14)</f>
        <v>0</v>
      </c>
      <c r="P10" s="38"/>
    </row>
    <row r="11" spans="1:16" ht="15" x14ac:dyDescent="0.3">
      <c r="A11" s="6" t="str">
        <v>Setembro</v>
      </c>
      <c r="B11" s="5"/>
      <c r="C11" s="15">
        <f>'Receita Líquida'!J18</f>
        <v>0</v>
      </c>
      <c r="D11" s="16">
        <f>SUM('Receita Líquida'!J$15:J$16)</f>
        <v>0</v>
      </c>
      <c r="E11" s="7"/>
      <c r="F11" s="21">
        <f>SUM('Despesas Gerais'!J20:J20)</f>
        <v>0</v>
      </c>
      <c r="G11" s="8"/>
      <c r="H11" s="15">
        <f t="shared" si="0"/>
        <v>0</v>
      </c>
      <c r="I11" s="18">
        <f>'Despesas Gerais'!J4</f>
        <v>150</v>
      </c>
      <c r="J11" s="3"/>
      <c r="K11" s="3"/>
      <c r="L11" s="8"/>
      <c r="M11" s="8"/>
      <c r="N11" s="40" t="str">
        <v>Jogos/ Livros</v>
      </c>
      <c r="O11" s="43">
        <f>SUM('Despesas Gerais'!B15:M15)</f>
        <v>0</v>
      </c>
      <c r="P11" s="38"/>
    </row>
    <row r="12" spans="1:16" ht="15.7" customHeight="1" x14ac:dyDescent="0.3">
      <c r="A12" s="6" t="str">
        <v>Outubro</v>
      </c>
      <c r="B12" s="5"/>
      <c r="C12" s="15">
        <f>'Receita Líquida'!K18</f>
        <v>0</v>
      </c>
      <c r="D12" s="16">
        <f>SUM('Receita Líquida'!K$15:K$16)</f>
        <v>0</v>
      </c>
      <c r="E12" s="7"/>
      <c r="F12" s="21">
        <f>SUM('Despesas Gerais'!K20:K20)</f>
        <v>0</v>
      </c>
      <c r="G12" s="8"/>
      <c r="H12" s="15">
        <f t="shared" si="0"/>
        <v>0</v>
      </c>
      <c r="I12" s="18">
        <f>'Despesas Gerais'!K4</f>
        <v>150</v>
      </c>
      <c r="J12" s="3"/>
      <c r="K12" s="38"/>
      <c r="L12" s="39"/>
      <c r="M12" s="39"/>
      <c r="N12" s="52" t="str">
        <v>Rolê/ Entret.</v>
      </c>
      <c r="O12" s="43">
        <f>SUM('Despesas Gerais'!B16:M16)</f>
        <v>0</v>
      </c>
      <c r="P12" s="39"/>
    </row>
    <row r="13" spans="1:16" ht="15" x14ac:dyDescent="0.3">
      <c r="A13" s="6" t="str">
        <v>Novembro</v>
      </c>
      <c r="B13" s="5"/>
      <c r="C13" s="15">
        <f>'Receita Líquida'!L18</f>
        <v>0</v>
      </c>
      <c r="D13" s="16">
        <f>SUM('Receita Líquida'!L$15:L$16)</f>
        <v>0</v>
      </c>
      <c r="E13" s="7"/>
      <c r="F13" s="21">
        <f>SUM('Despesas Gerais'!L20:L20)</f>
        <v>0</v>
      </c>
      <c r="G13" s="8"/>
      <c r="H13" s="15">
        <f t="shared" si="0"/>
        <v>0</v>
      </c>
      <c r="I13" s="18">
        <f>'Despesas Gerais'!L4</f>
        <v>150</v>
      </c>
      <c r="J13" s="3"/>
      <c r="K13" s="38"/>
      <c r="L13" s="39"/>
      <c r="M13" s="39"/>
      <c r="N13" s="52" t="str">
        <v>Roupas</v>
      </c>
      <c r="O13" s="43">
        <f>SUM('Despesas Gerais'!B17:M17)</f>
        <v>0</v>
      </c>
      <c r="P13" s="39"/>
    </row>
    <row r="14" spans="1:16" ht="15" customHeight="1" thickBot="1" x14ac:dyDescent="0.35">
      <c r="A14" s="6" t="str">
        <v>Dezembro</v>
      </c>
      <c r="B14" s="5"/>
      <c r="C14" s="15">
        <f>'Receita Líquida'!M18</f>
        <v>0</v>
      </c>
      <c r="D14" s="16">
        <f>SUM('Receita Líquida'!M$15:M$16)</f>
        <v>0</v>
      </c>
      <c r="E14" s="7"/>
      <c r="F14" s="21">
        <f>SUM('Despesas Gerais'!M20:N20)</f>
        <v>0</v>
      </c>
      <c r="G14" s="8"/>
      <c r="H14" s="15">
        <f t="shared" si="0"/>
        <v>0</v>
      </c>
      <c r="I14" s="18">
        <f>'Despesas Gerais'!M4</f>
        <v>150</v>
      </c>
      <c r="J14" s="3"/>
      <c r="K14" s="38"/>
      <c r="L14" s="38"/>
      <c r="M14" s="38"/>
      <c r="N14" s="53" t="str">
        <v>G. Gerais</v>
      </c>
      <c r="O14" s="54">
        <f>SUM('Despesas Gerais'!B18:M18)</f>
        <v>0</v>
      </c>
      <c r="P14" s="38"/>
    </row>
    <row r="15" spans="1:16" ht="15.7" thickBot="1" x14ac:dyDescent="0.35">
      <c r="A15" s="6" t="s">
        <v>5</v>
      </c>
      <c r="B15" s="5"/>
      <c r="C15" s="17">
        <f>SUM(C3:C14)</f>
        <v>150</v>
      </c>
      <c r="D15" s="16">
        <f>SUM(D3:D14)</f>
        <v>0</v>
      </c>
      <c r="E15" s="7"/>
      <c r="F15" s="21">
        <f>SUM(F3:F14)</f>
        <v>0</v>
      </c>
      <c r="G15" s="8"/>
      <c r="H15" s="25" t="s">
        <v>12</v>
      </c>
      <c r="I15" s="20">
        <f>'Gráfico Anual'!L9</f>
        <v>150</v>
      </c>
      <c r="J15" s="3"/>
      <c r="K15" s="38"/>
      <c r="L15" s="38"/>
      <c r="M15" s="38"/>
      <c r="N15" s="38"/>
      <c r="O15" s="38"/>
      <c r="P15" s="38"/>
    </row>
    <row r="16" spans="1:16" ht="15" x14ac:dyDescent="0.3">
      <c r="A16" s="6" t="s">
        <v>6</v>
      </c>
      <c r="B16" s="5"/>
      <c r="C16" s="17">
        <f>AVERAGE(C3:C14)</f>
        <v>12.5</v>
      </c>
      <c r="D16" s="16">
        <f>AVERAGE(D3:D14)</f>
        <v>0</v>
      </c>
      <c r="E16" s="7"/>
      <c r="F16" s="22">
        <f>AVERAGE(F3:F14)</f>
        <v>0</v>
      </c>
      <c r="G16" s="7"/>
      <c r="H16" s="5"/>
      <c r="I16" s="10"/>
      <c r="J16" s="3"/>
      <c r="K16" s="38"/>
      <c r="L16" s="38"/>
      <c r="M16" s="38"/>
      <c r="N16" s="38"/>
      <c r="O16" s="38"/>
      <c r="P16" s="38"/>
    </row>
    <row r="17" spans="1:16" ht="15" x14ac:dyDescent="0.3">
      <c r="A17" s="6" t="s">
        <v>27</v>
      </c>
      <c r="B17" s="5"/>
      <c r="C17" s="15">
        <f>SUM(C3:C8)</f>
        <v>150</v>
      </c>
      <c r="D17" s="18">
        <f>SUM(D3:D8)</f>
        <v>0</v>
      </c>
      <c r="E17" s="8"/>
      <c r="F17" s="23">
        <f>SUM(F3:F8)</f>
        <v>0</v>
      </c>
      <c r="G17" s="5"/>
      <c r="H17" s="7"/>
      <c r="I17" s="3"/>
      <c r="J17" s="3"/>
      <c r="K17" s="38"/>
      <c r="L17" s="38"/>
      <c r="M17" s="38"/>
      <c r="N17" s="38"/>
      <c r="O17" s="38"/>
      <c r="P17" s="38"/>
    </row>
    <row r="18" spans="1:16" ht="15.7" thickBot="1" x14ac:dyDescent="0.35">
      <c r="A18" s="9" t="s">
        <v>28</v>
      </c>
      <c r="B18" s="5"/>
      <c r="C18" s="19">
        <f>SUM($C$9:$C$14)</f>
        <v>0</v>
      </c>
      <c r="D18" s="20">
        <f>SUM($D$9:$D$14)</f>
        <v>0</v>
      </c>
      <c r="E18" s="8"/>
      <c r="F18" s="24">
        <f>SUM($F$9:$F$14)</f>
        <v>0</v>
      </c>
      <c r="G18" s="5"/>
      <c r="H18" s="5"/>
      <c r="I18" s="3"/>
      <c r="J18" s="3"/>
      <c r="K18" s="38"/>
      <c r="L18" s="38"/>
      <c r="M18" s="38"/>
      <c r="N18" s="38"/>
      <c r="O18" s="38"/>
      <c r="P18" s="38"/>
    </row>
    <row r="19" spans="1:16" ht="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8"/>
      <c r="L19" s="38"/>
      <c r="M19" s="38"/>
      <c r="N19" s="38"/>
      <c r="O19" s="38"/>
      <c r="P19" s="38"/>
    </row>
    <row r="20" spans="1:16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  <row r="21" spans="1:16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</row>
    <row r="26" spans="1:16" ht="14.3" customHeight="1" x14ac:dyDescent="0.25"/>
    <row r="27" spans="1:16" ht="8.5500000000000007" customHeight="1" x14ac:dyDescent="0.25"/>
    <row r="28" spans="1:16" ht="17.149999999999999" customHeight="1" x14ac:dyDescent="0.25"/>
    <row r="29" spans="1:16" ht="9.3000000000000007" customHeight="1" x14ac:dyDescent="0.25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10</vt:i4>
      </vt:variant>
    </vt:vector>
  </HeadingPairs>
  <TitlesOfParts>
    <vt:vector size="15" baseType="lpstr">
      <vt:lpstr>Validação de Dados</vt:lpstr>
      <vt:lpstr>Saldo &amp; Mov.</vt:lpstr>
      <vt:lpstr>Receita Líquida</vt:lpstr>
      <vt:lpstr>Despesas Gerais</vt:lpstr>
      <vt:lpstr>Gráfico Anual</vt:lpstr>
      <vt:lpstr>Contas</vt:lpstr>
      <vt:lpstr>Dash</vt:lpstr>
      <vt:lpstr>Despesas</vt:lpstr>
      <vt:lpstr>Investimentos</vt:lpstr>
      <vt:lpstr>Meses</vt:lpstr>
      <vt:lpstr>Pagamento</vt:lpstr>
      <vt:lpstr>Perdas</vt:lpstr>
      <vt:lpstr>Receita_Líquida</vt:lpstr>
      <vt:lpstr>Receitas</vt:lpstr>
      <vt:lpstr>Transferir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2024-05-05T20:42:11Z</dcterms:modified>
</cp:coreProperties>
</file>