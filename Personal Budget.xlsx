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F5CC3D1-F4E5-480A-BF01-21AE2F02C67F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Graphic Categories" sheetId="14" state="hidden" r:id="rId5"/>
    <sheet name="Graphic Annual" sheetId="13" r:id="rId6"/>
  </sheets>
  <definedNames>
    <definedName name="Assets">'Data Validation'!$B$5:$B$7</definedName>
    <definedName name="Dash">'Graphic Annual'!$A$1:$P$26</definedName>
    <definedName name="Discount">'Data Validation'!$H$5:$H$9</definedName>
    <definedName name="Expenses">'Data Validation'!$D$5:$D$16</definedName>
    <definedName name="Income">'Data Validation'!$J$5:$J$9</definedName>
    <definedName name="Investments">'Data Validation'!$F$5:$F$6</definedName>
    <definedName name="Months">'Data Validation'!$P$5:$P$16</definedName>
    <definedName name="Net_Salary">'Data Validation'!$N$5:$N$16</definedName>
    <definedName name="Transfer">'Data Validation'!$L$5:$L$7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2" l="1"/>
  <c r="C19" i="12"/>
  <c r="C20" i="12"/>
  <c r="C17" i="12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A3" i="8" a="1"/>
  <c r="A3" i="8" s="1"/>
  <c r="E3" i="12" a="1"/>
  <c r="E3" i="12" s="1"/>
  <c r="B9" i="12" a="1"/>
  <c r="B9" i="12" s="1"/>
  <c r="N15" i="15" a="1"/>
  <c r="N15" i="15" s="1"/>
  <c r="N10" i="15" a="1"/>
  <c r="N10" i="15" s="1"/>
  <c r="N5" i="15" a="1"/>
  <c r="N5" i="15" s="1"/>
  <c r="L5" i="15" a="1"/>
  <c r="L5" i="15" s="1"/>
  <c r="C11" i="12" l="1" a="1"/>
  <c r="C11" i="12" s="1"/>
  <c r="C10" i="12" a="1"/>
  <c r="C10" i="12" s="1"/>
  <c r="C9" i="12" a="1"/>
  <c r="C9" i="12" s="1"/>
  <c r="C12" i="12" l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K4" i="1"/>
  <c r="I12" i="13" s="1"/>
  <c r="H12" i="13" l="1"/>
  <c r="L4" i="1"/>
  <c r="I13" i="13" s="1"/>
  <c r="H13" i="13" l="1"/>
  <c r="C13" i="12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<sst xmlns="http://schemas.openxmlformats.org/spreadsheetml/2006/main" count="119" uniqueCount="78">
  <si>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</si>
  <si>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</si>
  <si>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</si>
  <si>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</si>
  <si>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</si>
  <si>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</si>
  <si>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</si>
  <si>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</si>
  <si>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</si>
  <si>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</si>
  <si>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</si>
  <si>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</si>
  <si>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</si>
  <si>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</si>
  <si>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</si>
  <si>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</si>
  <si>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</si>
  <si>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</si>
  <si>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</si>
  <si>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</si>
  <si>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</si>
  <si>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</si>
  <si>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</si>
  <si>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</si>
  <si>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</si>
  <si>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</si>
  <si>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</si>
  <si>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</si>
  <si>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</si>
  <si>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</si>
  <si>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</si>
  <si>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</si>
  <si>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</si>
  <si>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</si>
  <si>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</si>
  <si>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</si>
  <si>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</si>
  <si>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</si>
  <si>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</si>
  <si>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</si>
  <si>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</si>
  <si>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</si>
  <si>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</si>
  <si>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</si>
  <si>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</si>
  <si>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</si>
  <si>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</si>
  <si>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</si>
  <si>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</si>
  <si>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</si>
  <si>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</si>
  <si>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</si>
  <si>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</si>
  <si>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</si>
  <si>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</si>
  <si>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</si>
  <si>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</si>
  <si>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</si>
  <si>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</si>
  <si>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</si>
  <si>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</si>
  <si>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</si>
  <si>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</si>
  <si>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</si>
  <si>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</si>
  <si>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</si>
  <si>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</si>
  <si>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</si>
  <si>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</si>
  <si>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Assets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</si>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</sst>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90535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zoomScale="120" zoomScaleNormal="120" workbookViewId="0">
      <selection activeCell="B4" sqref="B4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77</v>
      </c>
    </row>
    <row r="4" spans="2:16" ht="15" x14ac:dyDescent="0.3">
      <c r="B4" s="28" t="s">
        <v>69</v>
      </c>
      <c r="D4" s="28" t="s">
        <v>21</v>
      </c>
      <c r="F4" s="28" t="s">
        <v>37</v>
      </c>
      <c r="H4" s="28" t="s">
        <v>43</v>
      </c>
      <c r="J4" s="28" t="s">
        <v>48</v>
      </c>
      <c r="L4" s="28" t="s">
        <v>72</v>
      </c>
      <c r="N4" s="28" t="s">
        <v>34</v>
      </c>
      <c r="P4" s="28" t="s">
        <v>73</v>
      </c>
    </row>
    <row r="5" spans="2:16" x14ac:dyDescent="0.25">
      <c r="B5" s="73" t="s">
        <v>24</v>
      </c>
      <c r="D5" s="73" t="s">
        <v>56</v>
      </c>
      <c r="F5" s="73" t="s">
        <v>75</v>
      </c>
      <c r="H5" s="73" t="s">
        <v>53</v>
      </c>
      <c r="J5" s="73" t="s">
        <v>49</v>
      </c>
      <c r="L5" s="74" t="str" cm="1">
        <f t="array" ref="L5:L7">Assets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76</v>
      </c>
      <c r="F6" s="73" t="s">
        <v>74</v>
      </c>
      <c r="H6" s="73" t="s">
        <v>52</v>
      </c>
      <c r="J6" s="73" t="s">
        <v>50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57</v>
      </c>
      <c r="H7" s="73" t="s">
        <v>68</v>
      </c>
      <c r="J7" s="73" t="s">
        <v>71</v>
      </c>
      <c r="L7" s="74" t="str">
        <v>Wallet</v>
      </c>
      <c r="N7" s="74" t="str">
        <v>Rent</v>
      </c>
      <c r="P7" s="74" t="s">
        <v>9</v>
      </c>
    </row>
    <row r="8" spans="2:16" x14ac:dyDescent="0.25">
      <c r="D8" s="73" t="s">
        <v>58</v>
      </c>
      <c r="H8" s="73" t="s">
        <v>64</v>
      </c>
      <c r="J8" s="73" t="s">
        <v>63</v>
      </c>
      <c r="N8" s="74" t="str">
        <v>Seals II</v>
      </c>
      <c r="P8" s="74" t="s">
        <v>10</v>
      </c>
    </row>
    <row r="9" spans="2:16" x14ac:dyDescent="0.25">
      <c r="D9" s="73" t="s">
        <v>55</v>
      </c>
      <c r="H9" s="73" t="s">
        <v>54</v>
      </c>
      <c r="J9" s="73" t="s">
        <v>51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59</v>
      </c>
      <c r="N11" s="74" t="str">
        <v>Tax II</v>
      </c>
      <c r="P11" s="74" t="s">
        <v>13</v>
      </c>
    </row>
    <row r="12" spans="2:16" x14ac:dyDescent="0.25">
      <c r="D12" s="73" t="s">
        <v>60</v>
      </c>
      <c r="N12" s="74" t="str">
        <v>Bank Fee I</v>
      </c>
      <c r="P12" s="74" t="s">
        <v>14</v>
      </c>
    </row>
    <row r="13" spans="2:16" x14ac:dyDescent="0.25">
      <c r="D13" s="73" t="s">
        <v>67</v>
      </c>
      <c r="N13" s="74" t="str">
        <v>Bank Fee II</v>
      </c>
      <c r="P13" s="74" t="s">
        <v>15</v>
      </c>
    </row>
    <row r="14" spans="2:16" x14ac:dyDescent="0.25">
      <c r="D14" s="73" t="s">
        <v>65</v>
      </c>
      <c r="N14" s="74" t="str">
        <v>Other - Discount</v>
      </c>
      <c r="P14" s="74" t="s">
        <v>16</v>
      </c>
    </row>
    <row r="15" spans="2:16" x14ac:dyDescent="0.25">
      <c r="D15" s="73" t="s">
        <v>66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61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70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69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1">Assets</f>
        <v>Bank 1</v>
      </c>
      <c r="C9" s="36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">
        <v>27</v>
      </c>
      <c r="C12" s="36">
        <f ca="1">SUM(C9:C11)</f>
        <v>150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">
        <v>28</v>
      </c>
      <c r="C13" s="35">
        <f ca="1">ROUND(C5-C12,2)</f>
        <v>-150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54"/>
      <c r="C14" s="54"/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29</v>
      </c>
      <c r="C16" s="17" t="s">
        <v>6</v>
      </c>
      <c r="D16" s="17" t="s">
        <v>30</v>
      </c>
      <c r="E16" s="18" t="s">
        <v>31</v>
      </c>
      <c r="F16" s="18" t="s">
        <v>32</v>
      </c>
      <c r="G16" s="19" t="s">
        <v>20</v>
      </c>
      <c r="H16" s="18" t="s">
        <v>33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48</v>
      </c>
      <c r="E17" s="22" t="s">
        <v>49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6">
        <f>SUMIFS(Tabela1[Amount],Tabela1[Month],B$2,Tabela1[Category],$A3)</f>
        <v>0</v>
      </c>
      <c r="C3" s="76">
        <f>SUMIFS(Tabela1[Amount],Tabela1[Month],C$2,Tabela1[Category],$A3)</f>
        <v>0</v>
      </c>
      <c r="D3" s="76">
        <f>SUMIFS(Tabela1[Amount],Tabela1[Month],D$2,Tabela1[Category],$A3)</f>
        <v>0</v>
      </c>
      <c r="E3" s="76">
        <f>SUMIFS(Tabela1[Amount],Tabela1[Month],E$2,Tabela1[Category],$A3)</f>
        <v>0</v>
      </c>
      <c r="F3" s="76">
        <f>SUMIFS(Tabela1[Amount],Tabela1[Month],F$2,Tabela1[Category],$A3)</f>
        <v>0</v>
      </c>
      <c r="G3" s="76">
        <f>SUMIFS(Tabela1[Amount],Tabela1[Month],G$2,Tabela1[Category],$A3)</f>
        <v>0</v>
      </c>
      <c r="H3" s="76">
        <f>SUMIFS(Tabela1[Amount],Tabela1[Month],H$2,Tabela1[Category],$A3)</f>
        <v>0</v>
      </c>
      <c r="I3" s="76">
        <f>SUMIFS(Tabela1[Amount],Tabela1[Month],I$2,Tabela1[Category],$A3)</f>
        <v>0</v>
      </c>
      <c r="J3" s="76">
        <f>SUMIFS(Tabela1[Amount],Tabela1[Month],J$2,Tabela1[Category],$A3)</f>
        <v>0</v>
      </c>
      <c r="K3" s="76">
        <f>SUMIFS(Tabela1[Amount],Tabela1[Month],K$2,Tabela1[Category],$A3)</f>
        <v>0</v>
      </c>
      <c r="L3" s="76">
        <f>SUMIFS(Tabela1[Amount],Tabela1[Month],L$2,Tabela1[Category],$A3)</f>
        <v>0</v>
      </c>
      <c r="M3" s="76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6">
        <f>SUMIFS(Tabela1[Amount],Tabela1[Month],B$2,Tabela1[Category],$A4)</f>
        <v>0</v>
      </c>
      <c r="C4" s="76">
        <f>SUMIFS(Tabela1[Amount],Tabela1[Month],C$2,Tabela1[Category],$A4)</f>
        <v>0</v>
      </c>
      <c r="D4" s="76">
        <f>SUMIFS(Tabela1[Amount],Tabela1[Month],D$2,Tabela1[Category],$A4)</f>
        <v>0</v>
      </c>
      <c r="E4" s="76">
        <f>SUMIFS(Tabela1[Amount],Tabela1[Month],E$2,Tabela1[Category],$A4)</f>
        <v>0</v>
      </c>
      <c r="F4" s="76">
        <f>SUMIFS(Tabela1[Amount],Tabela1[Month],F$2,Tabela1[Category],$A4)</f>
        <v>0</v>
      </c>
      <c r="G4" s="76">
        <f>SUMIFS(Tabela1[Amount],Tabela1[Month],G$2,Tabela1[Category],$A4)</f>
        <v>0</v>
      </c>
      <c r="H4" s="76">
        <f>SUMIFS(Tabela1[Amount],Tabela1[Month],H$2,Tabela1[Category],$A4)</f>
        <v>0</v>
      </c>
      <c r="I4" s="76">
        <f>SUMIFS(Tabela1[Amount],Tabela1[Month],I$2,Tabela1[Category],$A4)</f>
        <v>0</v>
      </c>
      <c r="J4" s="76">
        <f>SUMIFS(Tabela1[Amount],Tabela1[Month],J$2,Tabela1[Category],$A4)</f>
        <v>0</v>
      </c>
      <c r="K4" s="76">
        <f>SUMIFS(Tabela1[Amount],Tabela1[Month],K$2,Tabela1[Category],$A4)</f>
        <v>0</v>
      </c>
      <c r="L4" s="76">
        <f>SUMIFS(Tabela1[Amount],Tabela1[Month],L$2,Tabela1[Category],$A4)</f>
        <v>0</v>
      </c>
      <c r="M4" s="76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6">
        <f>SUMIFS(Tabela1[Amount],Tabela1[Month],B$2,Tabela1[Category],$A5)</f>
        <v>0</v>
      </c>
      <c r="C5" s="76">
        <f>SUMIFS(Tabela1[Amount],Tabela1[Month],C$2,Tabela1[Category],$A5)</f>
        <v>0</v>
      </c>
      <c r="D5" s="76">
        <f>SUMIFS(Tabela1[Amount],Tabela1[Month],D$2,Tabela1[Category],$A5)</f>
        <v>0</v>
      </c>
      <c r="E5" s="76">
        <f>SUMIFS(Tabela1[Amount],Tabela1[Month],E$2,Tabela1[Category],$A5)</f>
        <v>0</v>
      </c>
      <c r="F5" s="76">
        <f>SUMIFS(Tabela1[Amount],Tabela1[Month],F$2,Tabela1[Category],$A5)</f>
        <v>0</v>
      </c>
      <c r="G5" s="76">
        <f>SUMIFS(Tabela1[Amount],Tabela1[Month],G$2,Tabela1[Category],$A5)</f>
        <v>0</v>
      </c>
      <c r="H5" s="76">
        <f>SUMIFS(Tabela1[Amount],Tabela1[Month],H$2,Tabela1[Category],$A5)</f>
        <v>0</v>
      </c>
      <c r="I5" s="76">
        <f>SUMIFS(Tabela1[Amount],Tabela1[Month],I$2,Tabela1[Category],$A5)</f>
        <v>0</v>
      </c>
      <c r="J5" s="76">
        <f>SUMIFS(Tabela1[Amount],Tabela1[Month],J$2,Tabela1[Category],$A5)</f>
        <v>0</v>
      </c>
      <c r="K5" s="76">
        <f>SUMIFS(Tabela1[Amount],Tabela1[Month],K$2,Tabela1[Category],$A5)</f>
        <v>0</v>
      </c>
      <c r="L5" s="76">
        <f>SUMIFS(Tabela1[Amount],Tabela1[Month],L$2,Tabela1[Category],$A5)</f>
        <v>0</v>
      </c>
      <c r="M5" s="76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6">
        <f>SUMIFS(Tabela1[Amount],Tabela1[Month],B$2,Tabela1[Category],$A6)</f>
        <v>0</v>
      </c>
      <c r="C6" s="76">
        <f>SUMIFS(Tabela1[Amount],Tabela1[Month],C$2,Tabela1[Category],$A6)</f>
        <v>0</v>
      </c>
      <c r="D6" s="76">
        <f>SUMIFS(Tabela1[Amount],Tabela1[Month],D$2,Tabela1[Category],$A6)</f>
        <v>0</v>
      </c>
      <c r="E6" s="76">
        <f>SUMIFS(Tabela1[Amount],Tabela1[Month],E$2,Tabela1[Category],$A6)</f>
        <v>0</v>
      </c>
      <c r="F6" s="76">
        <f>SUMIFS(Tabela1[Amount],Tabela1[Month],F$2,Tabela1[Category],$A6)</f>
        <v>0</v>
      </c>
      <c r="G6" s="76">
        <f>SUMIFS(Tabela1[Amount],Tabela1[Month],G$2,Tabela1[Category],$A6)</f>
        <v>0</v>
      </c>
      <c r="H6" s="76">
        <f>SUMIFS(Tabela1[Amount],Tabela1[Month],H$2,Tabela1[Category],$A6)</f>
        <v>0</v>
      </c>
      <c r="I6" s="76">
        <f>SUMIFS(Tabela1[Amount],Tabela1[Month],I$2,Tabela1[Category],$A6)</f>
        <v>0</v>
      </c>
      <c r="J6" s="76">
        <f>SUMIFS(Tabela1[Amount],Tabela1[Month],J$2,Tabela1[Category],$A6)</f>
        <v>0</v>
      </c>
      <c r="K6" s="76">
        <f>SUMIFS(Tabela1[Amount],Tabela1[Month],K$2,Tabela1[Category],$A6)</f>
        <v>0</v>
      </c>
      <c r="L6" s="76">
        <f>SUMIFS(Tabela1[Amount],Tabela1[Month],L$2,Tabela1[Category],$A6)</f>
        <v>0</v>
      </c>
      <c r="M6" s="76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6">
        <f>SUMIFS(Tabela1[Amount],Tabela1[Month],B$2,Tabela1[Category],$A7)</f>
        <v>0</v>
      </c>
      <c r="C7" s="76">
        <f>SUMIFS(Tabela1[Amount],Tabela1[Month],C$2,Tabela1[Category],$A7)</f>
        <v>0</v>
      </c>
      <c r="D7" s="76">
        <f>SUMIFS(Tabela1[Amount],Tabela1[Month],D$2,Tabela1[Category],$A7)</f>
        <v>0</v>
      </c>
      <c r="E7" s="76">
        <f>SUMIFS(Tabela1[Amount],Tabela1[Month],E$2,Tabela1[Category],$A7)</f>
        <v>0</v>
      </c>
      <c r="F7" s="76">
        <f>SUMIFS(Tabela1[Amount],Tabela1[Month],F$2,Tabela1[Category],$A7)</f>
        <v>0</v>
      </c>
      <c r="G7" s="76">
        <f>SUMIFS(Tabela1[Amount],Tabela1[Month],G$2,Tabela1[Category],$A7)</f>
        <v>0</v>
      </c>
      <c r="H7" s="76">
        <f>SUMIFS(Tabela1[Amount],Tabela1[Month],H$2,Tabela1[Category],$A7)</f>
        <v>0</v>
      </c>
      <c r="I7" s="76">
        <f>SUMIFS(Tabela1[Amount],Tabela1[Month],I$2,Tabela1[Category],$A7)</f>
        <v>0</v>
      </c>
      <c r="J7" s="76">
        <f>SUMIFS(Tabela1[Amount],Tabela1[Month],J$2,Tabela1[Category],$A7)</f>
        <v>0</v>
      </c>
      <c r="K7" s="76">
        <f>SUMIFS(Tabela1[Amount],Tabela1[Month],K$2,Tabela1[Category],$A7)</f>
        <v>0</v>
      </c>
      <c r="L7" s="76">
        <f>SUMIFS(Tabela1[Amount],Tabela1[Month],L$2,Tabela1[Category],$A7)</f>
        <v>0</v>
      </c>
      <c r="M7" s="76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6">
        <f>SUMIFS(Tabela1[Amount],Tabela1[Month],B$2,Tabela1[Category],$A8)</f>
        <v>0</v>
      </c>
      <c r="C8" s="76">
        <f>SUMIFS(Tabela1[Amount],Tabela1[Month],C$2,Tabela1[Category],$A8)</f>
        <v>0</v>
      </c>
      <c r="D8" s="76">
        <f>SUMIFS(Tabela1[Amount],Tabela1[Month],D$2,Tabela1[Category],$A8)</f>
        <v>0</v>
      </c>
      <c r="E8" s="76">
        <f>SUMIFS(Tabela1[Amount],Tabela1[Month],E$2,Tabela1[Category],$A8)</f>
        <v>0</v>
      </c>
      <c r="F8" s="76">
        <f>SUMIFS(Tabela1[Amount],Tabela1[Month],F$2,Tabela1[Category],$A8)</f>
        <v>0</v>
      </c>
      <c r="G8" s="76">
        <f>SUMIFS(Tabela1[Amount],Tabela1[Month],G$2,Tabela1[Category],$A8)</f>
        <v>0</v>
      </c>
      <c r="H8" s="76">
        <f>SUMIFS(Tabela1[Amount],Tabela1[Month],H$2,Tabela1[Category],$A8)</f>
        <v>0</v>
      </c>
      <c r="I8" s="76">
        <f>SUMIFS(Tabela1[Amount],Tabela1[Month],I$2,Tabela1[Category],$A8)</f>
        <v>0</v>
      </c>
      <c r="J8" s="76">
        <f>SUMIFS(Tabela1[Amount],Tabela1[Month],J$2,Tabela1[Category],$A8)</f>
        <v>0</v>
      </c>
      <c r="K8" s="76">
        <f>SUMIFS(Tabela1[Amount],Tabela1[Month],K$2,Tabela1[Category],$A8)</f>
        <v>0</v>
      </c>
      <c r="L8" s="76">
        <f>SUMIFS(Tabela1[Amount],Tabela1[Month],L$2,Tabela1[Category],$A8)</f>
        <v>0</v>
      </c>
      <c r="M8" s="76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6">
        <f>SUMIFS(Tabela1[Amount],Tabela1[Month],B$2,Tabela1[Category],$A9)</f>
        <v>0</v>
      </c>
      <c r="C9" s="76">
        <f>SUMIFS(Tabela1[Amount],Tabela1[Month],C$2,Tabela1[Category],$A9)</f>
        <v>0</v>
      </c>
      <c r="D9" s="76">
        <f>SUMIFS(Tabela1[Amount],Tabela1[Month],D$2,Tabela1[Category],$A9)</f>
        <v>0</v>
      </c>
      <c r="E9" s="76">
        <f>SUMIFS(Tabela1[Amount],Tabela1[Month],E$2,Tabela1[Category],$A9)</f>
        <v>0</v>
      </c>
      <c r="F9" s="76">
        <f>SUMIFS(Tabela1[Amount],Tabela1[Month],F$2,Tabela1[Category],$A9)</f>
        <v>0</v>
      </c>
      <c r="G9" s="76">
        <f>SUMIFS(Tabela1[Amount],Tabela1[Month],G$2,Tabela1[Category],$A9)</f>
        <v>0</v>
      </c>
      <c r="H9" s="76">
        <f>SUMIFS(Tabela1[Amount],Tabela1[Month],H$2,Tabela1[Category],$A9)</f>
        <v>0</v>
      </c>
      <c r="I9" s="76">
        <f>SUMIFS(Tabela1[Amount],Tabela1[Month],I$2,Tabela1[Category],$A9)</f>
        <v>0</v>
      </c>
      <c r="J9" s="76">
        <f>SUMIFS(Tabela1[Amount],Tabela1[Month],J$2,Tabela1[Category],$A9)</f>
        <v>0</v>
      </c>
      <c r="K9" s="76">
        <f>SUMIFS(Tabela1[Amount],Tabela1[Month],K$2,Tabela1[Category],$A9)</f>
        <v>0</v>
      </c>
      <c r="L9" s="76">
        <f>SUMIFS(Tabela1[Amount],Tabela1[Month],L$2,Tabela1[Category],$A9)</f>
        <v>0</v>
      </c>
      <c r="M9" s="76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6">
        <f>SUMIFS(Tabela1[Amount],Tabela1[Month],B$2,Tabela1[Category],$A10)</f>
        <v>0</v>
      </c>
      <c r="C10" s="76">
        <f>SUMIFS(Tabela1[Amount],Tabela1[Month],C$2,Tabela1[Category],$A10)</f>
        <v>0</v>
      </c>
      <c r="D10" s="76">
        <f>SUMIFS(Tabela1[Amount],Tabela1[Month],D$2,Tabela1[Category],$A10)</f>
        <v>0</v>
      </c>
      <c r="E10" s="76">
        <f>SUMIFS(Tabela1[Amount],Tabela1[Month],E$2,Tabela1[Category],$A10)</f>
        <v>0</v>
      </c>
      <c r="F10" s="76">
        <f>SUMIFS(Tabela1[Amount],Tabela1[Month],F$2,Tabela1[Category],$A10)</f>
        <v>0</v>
      </c>
      <c r="G10" s="76">
        <f>SUMIFS(Tabela1[Amount],Tabela1[Month],G$2,Tabela1[Category],$A10)</f>
        <v>0</v>
      </c>
      <c r="H10" s="76">
        <f>SUMIFS(Tabela1[Amount],Tabela1[Month],H$2,Tabela1[Category],$A10)</f>
        <v>0</v>
      </c>
      <c r="I10" s="76">
        <f>SUMIFS(Tabela1[Amount],Tabela1[Month],I$2,Tabela1[Category],$A10)</f>
        <v>0</v>
      </c>
      <c r="J10" s="76">
        <f>SUMIFS(Tabela1[Amount],Tabela1[Month],J$2,Tabela1[Category],$A10)</f>
        <v>0</v>
      </c>
      <c r="K10" s="76">
        <f>SUMIFS(Tabela1[Amount],Tabela1[Month],K$2,Tabela1[Category],$A10)</f>
        <v>0</v>
      </c>
      <c r="L10" s="76">
        <f>SUMIFS(Tabela1[Amount],Tabela1[Month],L$2,Tabela1[Category],$A10)</f>
        <v>0</v>
      </c>
      <c r="M10" s="76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6">
        <f>SUMIFS(Tabela1[Amount],Tabela1[Month],B$2,Tabela1[Category],$A11)</f>
        <v>0</v>
      </c>
      <c r="C11" s="76">
        <f>SUMIFS(Tabela1[Amount],Tabela1[Month],C$2,Tabela1[Category],$A11)</f>
        <v>0</v>
      </c>
      <c r="D11" s="76">
        <f>SUMIFS(Tabela1[Amount],Tabela1[Month],D$2,Tabela1[Category],$A11)</f>
        <v>0</v>
      </c>
      <c r="E11" s="76">
        <f>SUMIFS(Tabela1[Amount],Tabela1[Month],E$2,Tabela1[Category],$A11)</f>
        <v>0</v>
      </c>
      <c r="F11" s="76">
        <f>SUMIFS(Tabela1[Amount],Tabela1[Month],F$2,Tabela1[Category],$A11)</f>
        <v>0</v>
      </c>
      <c r="G11" s="76">
        <f>SUMIFS(Tabela1[Amount],Tabela1[Month],G$2,Tabela1[Category],$A11)</f>
        <v>0</v>
      </c>
      <c r="H11" s="76">
        <f>SUMIFS(Tabela1[Amount],Tabela1[Month],H$2,Tabela1[Category],$A11)</f>
        <v>0</v>
      </c>
      <c r="I11" s="76">
        <f>SUMIFS(Tabela1[Amount],Tabela1[Month],I$2,Tabela1[Category],$A11)</f>
        <v>0</v>
      </c>
      <c r="J11" s="76">
        <f>SUMIFS(Tabela1[Amount],Tabela1[Month],J$2,Tabela1[Category],$A11)</f>
        <v>0</v>
      </c>
      <c r="K11" s="76">
        <f>SUMIFS(Tabela1[Amount],Tabela1[Month],K$2,Tabela1[Category],$A11)</f>
        <v>0</v>
      </c>
      <c r="L11" s="76">
        <f>SUMIFS(Tabela1[Amount],Tabela1[Month],L$2,Tabela1[Category],$A11)</f>
        <v>0</v>
      </c>
      <c r="M11" s="76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6">
        <f>SUMIFS(Tabela1[Amount],Tabela1[Month],B$2,Tabela1[Category],$A12)</f>
        <v>0</v>
      </c>
      <c r="C12" s="76">
        <f>SUMIFS(Tabela1[Amount],Tabela1[Month],C$2,Tabela1[Category],$A12)</f>
        <v>0</v>
      </c>
      <c r="D12" s="76">
        <f>SUMIFS(Tabela1[Amount],Tabela1[Month],D$2,Tabela1[Category],$A12)</f>
        <v>0</v>
      </c>
      <c r="E12" s="76">
        <f>SUMIFS(Tabela1[Amount],Tabela1[Month],E$2,Tabela1[Category],$A12)</f>
        <v>0</v>
      </c>
      <c r="F12" s="76">
        <f>SUMIFS(Tabela1[Amount],Tabela1[Month],F$2,Tabela1[Category],$A12)</f>
        <v>0</v>
      </c>
      <c r="G12" s="76">
        <f>SUMIFS(Tabela1[Amount],Tabela1[Month],G$2,Tabela1[Category],$A12)</f>
        <v>0</v>
      </c>
      <c r="H12" s="76">
        <f>SUMIFS(Tabela1[Amount],Tabela1[Month],H$2,Tabela1[Category],$A12)</f>
        <v>0</v>
      </c>
      <c r="I12" s="76">
        <f>SUMIFS(Tabela1[Amount],Tabela1[Month],I$2,Tabela1[Category],$A12)</f>
        <v>0</v>
      </c>
      <c r="J12" s="76">
        <f>SUMIFS(Tabela1[Amount],Tabela1[Month],J$2,Tabela1[Category],$A12)</f>
        <v>0</v>
      </c>
      <c r="K12" s="76">
        <f>SUMIFS(Tabela1[Amount],Tabela1[Month],K$2,Tabela1[Category],$A12)</f>
        <v>0</v>
      </c>
      <c r="L12" s="76">
        <f>SUMIFS(Tabela1[Amount],Tabela1[Month],L$2,Tabela1[Category],$A12)</f>
        <v>0</v>
      </c>
      <c r="M12" s="76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6">
        <f>SUMIFS(Tabela1[Amount],Tabela1[Month],B$2,Tabela1[Category],$A13)</f>
        <v>0</v>
      </c>
      <c r="C13" s="76">
        <f>SUMIFS(Tabela1[Amount],Tabela1[Month],C$2,Tabela1[Category],$A13)</f>
        <v>0</v>
      </c>
      <c r="D13" s="76">
        <f>SUMIFS(Tabela1[Amount],Tabela1[Month],D$2,Tabela1[Category],$A13)</f>
        <v>0</v>
      </c>
      <c r="E13" s="76">
        <f>SUMIFS(Tabela1[Amount],Tabela1[Month],E$2,Tabela1[Category],$A13)</f>
        <v>0</v>
      </c>
      <c r="F13" s="76">
        <f>SUMIFS(Tabela1[Amount],Tabela1[Month],F$2,Tabela1[Category],$A13)</f>
        <v>0</v>
      </c>
      <c r="G13" s="76">
        <f>SUMIFS(Tabela1[Amount],Tabela1[Month],G$2,Tabela1[Category],$A13)</f>
        <v>0</v>
      </c>
      <c r="H13" s="76">
        <f>SUMIFS(Tabela1[Amount],Tabela1[Month],H$2,Tabela1[Category],$A13)</f>
        <v>0</v>
      </c>
      <c r="I13" s="76">
        <f>SUMIFS(Tabela1[Amount],Tabela1[Month],I$2,Tabela1[Category],$A13)</f>
        <v>0</v>
      </c>
      <c r="J13" s="76">
        <f>SUMIFS(Tabela1[Amount],Tabela1[Month],J$2,Tabela1[Category],$A13)</f>
        <v>0</v>
      </c>
      <c r="K13" s="76">
        <f>SUMIFS(Tabela1[Amount],Tabela1[Month],K$2,Tabela1[Category],$A13)</f>
        <v>0</v>
      </c>
      <c r="L13" s="76">
        <f>SUMIFS(Tabela1[Amount],Tabela1[Month],L$2,Tabela1[Category],$A13)</f>
        <v>0</v>
      </c>
      <c r="M13" s="76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6">
        <f>SUMIFS(Tabela1[Amount],Tabela1[Month],B$2,Tabela1[Category],$A14)</f>
        <v>0</v>
      </c>
      <c r="C14" s="76">
        <f>SUMIFS(Tabela1[Amount],Tabela1[Month],C$2,Tabela1[Category],$A14)</f>
        <v>0</v>
      </c>
      <c r="D14" s="76">
        <f>SUMIFS(Tabela1[Amount],Tabela1[Month],D$2,Tabela1[Category],$A14)</f>
        <v>0</v>
      </c>
      <c r="E14" s="76">
        <f>SUMIFS(Tabela1[Amount],Tabela1[Month],E$2,Tabela1[Category],$A14)</f>
        <v>0</v>
      </c>
      <c r="F14" s="76">
        <f>SUMIFS(Tabela1[Amount],Tabela1[Month],F$2,Tabela1[Category],$A14)</f>
        <v>0</v>
      </c>
      <c r="G14" s="76">
        <f>SUMIFS(Tabela1[Amount],Tabela1[Month],G$2,Tabela1[Category],$A14)</f>
        <v>0</v>
      </c>
      <c r="H14" s="76">
        <f>SUMIFS(Tabela1[Amount],Tabela1[Month],H$2,Tabela1[Category],$A14)</f>
        <v>0</v>
      </c>
      <c r="I14" s="76">
        <f>SUMIFS(Tabela1[Amount],Tabela1[Month],I$2,Tabela1[Category],$A14)</f>
        <v>0</v>
      </c>
      <c r="J14" s="76">
        <f>SUMIFS(Tabela1[Amount],Tabela1[Month],J$2,Tabela1[Category],$A14)</f>
        <v>0</v>
      </c>
      <c r="K14" s="76">
        <f>SUMIFS(Tabela1[Amount],Tabela1[Month],K$2,Tabela1[Category],$A14)</f>
        <v>0</v>
      </c>
      <c r="L14" s="76">
        <f>SUMIFS(Tabela1[Amount],Tabela1[Month],L$2,Tabela1[Category],$A14)</f>
        <v>0</v>
      </c>
      <c r="M14" s="76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5" t="s">
        <v>34</v>
      </c>
      <c r="B3" s="76">
        <f>'Net Salary'!B16</f>
        <v>0</v>
      </c>
      <c r="C3" s="76">
        <f>'Net Salary'!C16</f>
        <v>0</v>
      </c>
      <c r="D3" s="76">
        <f>'Net Salary'!D16</f>
        <v>0</v>
      </c>
      <c r="E3" s="76">
        <f>'Net Salary'!E16</f>
        <v>0</v>
      </c>
      <c r="F3" s="76">
        <f>'Net Salary'!F16</f>
        <v>0</v>
      </c>
      <c r="G3" s="76">
        <f>'Net Salary'!G16</f>
        <v>0</v>
      </c>
      <c r="H3" s="76">
        <f>'Net Salary'!H16</f>
        <v>0</v>
      </c>
      <c r="I3" s="76">
        <f>'Net Salary'!I16</f>
        <v>0</v>
      </c>
      <c r="J3" s="76">
        <f>'Net Salary'!J16</f>
        <v>0</v>
      </c>
      <c r="K3" s="76">
        <f>'Net Salary'!K16</f>
        <v>0</v>
      </c>
      <c r="L3" s="76">
        <f>'Net Salary'!L16</f>
        <v>0</v>
      </c>
      <c r="M3" s="76">
        <f>'Net Salary'!M16</f>
        <v>0</v>
      </c>
    </row>
    <row r="4" spans="1:13" ht="15" customHeight="1" x14ac:dyDescent="0.3">
      <c r="A4" s="75" t="s">
        <v>22</v>
      </c>
      <c r="B4" s="77">
        <f>B3-(SUM(B7:B18))</f>
        <v>0</v>
      </c>
      <c r="C4" s="77">
        <f t="shared" ref="C4:L4" si="0">C3-(SUM(C7:C18))+B4</f>
        <v>0</v>
      </c>
      <c r="D4" s="77">
        <f t="shared" si="0"/>
        <v>0</v>
      </c>
      <c r="E4" s="77">
        <f t="shared" si="0"/>
        <v>0</v>
      </c>
      <c r="F4" s="77">
        <f t="shared" si="0"/>
        <v>0</v>
      </c>
      <c r="G4" s="77">
        <f t="shared" si="0"/>
        <v>0</v>
      </c>
      <c r="H4" s="77">
        <f t="shared" si="0"/>
        <v>0</v>
      </c>
      <c r="I4" s="77">
        <f t="shared" si="0"/>
        <v>0</v>
      </c>
      <c r="J4" s="77">
        <f t="shared" si="0"/>
        <v>0</v>
      </c>
      <c r="K4" s="77">
        <f t="shared" si="0"/>
        <v>0</v>
      </c>
      <c r="L4" s="77">
        <f t="shared" si="0"/>
        <v>0</v>
      </c>
      <c r="M4" s="77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33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6">
        <f>SUMIFS(Tabela1[Amount],Tabela1[Month],Expenses!B$2,Tabela1[Category],Expenses!$A7)</f>
        <v>0</v>
      </c>
      <c r="C7" s="76">
        <f>SUMIFS(Tabela1[Amount],Tabela1[Month],Expenses!C$2,Tabela1[Category],Expenses!$A7)</f>
        <v>0</v>
      </c>
      <c r="D7" s="76">
        <f>SUMIFS(Tabela1[Amount],Tabela1[Month],Expenses!D$2,Tabela1[Category],Expenses!$A7)</f>
        <v>0</v>
      </c>
      <c r="E7" s="76">
        <f>SUMIFS(Tabela1[Amount],Tabela1[Month],Expenses!E$2,Tabela1[Category],Expenses!$A7)</f>
        <v>0</v>
      </c>
      <c r="F7" s="76">
        <f>SUMIFS(Tabela1[Amount],Tabela1[Month],Expenses!F$2,Tabela1[Category],Expenses!$A7)</f>
        <v>0</v>
      </c>
      <c r="G7" s="76">
        <f>SUMIFS(Tabela1[Amount],Tabela1[Month],Expenses!G$2,Tabela1[Category],Expenses!$A7)</f>
        <v>0</v>
      </c>
      <c r="H7" s="76">
        <f>SUMIFS(Tabela1[Amount],Tabela1[Month],Expenses!H$2,Tabela1[Category],Expenses!$A7)</f>
        <v>0</v>
      </c>
      <c r="I7" s="76">
        <f>SUMIFS(Tabela1[Amount],Tabela1[Month],Expenses!I$2,Tabela1[Category],Expenses!$A7)</f>
        <v>0</v>
      </c>
      <c r="J7" s="76">
        <f>SUMIFS(Tabela1[Amount],Tabela1[Month],Expenses!J$2,Tabela1[Category],Expenses!$A7)</f>
        <v>0</v>
      </c>
      <c r="K7" s="76">
        <f>SUMIFS(Tabela1[Amount],Tabela1[Month],Expenses!K$2,Tabela1[Category],Expenses!$A7)</f>
        <v>0</v>
      </c>
      <c r="L7" s="76">
        <f>SUMIFS(Tabela1[Amount],Tabela1[Month],Expenses!L$2,Tabela1[Category],Expenses!$A7)</f>
        <v>0</v>
      </c>
      <c r="M7" s="76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6">
        <f>SUMIFS(Tabela1[Amount],Tabela1[Month],Expenses!B$2,Tabela1[Category],Expenses!$A8)</f>
        <v>0</v>
      </c>
      <c r="C8" s="76">
        <f>SUMIFS(Tabela1[Amount],Tabela1[Month],Expenses!C$2,Tabela1[Category],Expenses!$A8)</f>
        <v>0</v>
      </c>
      <c r="D8" s="76">
        <f>SUMIFS(Tabela1[Amount],Tabela1[Month],Expenses!D$2,Tabela1[Category],Expenses!$A8)</f>
        <v>0</v>
      </c>
      <c r="E8" s="76">
        <f>SUMIFS(Tabela1[Amount],Tabela1[Month],Expenses!E$2,Tabela1[Category],Expenses!$A8)</f>
        <v>0</v>
      </c>
      <c r="F8" s="76">
        <f>SUMIFS(Tabela1[Amount],Tabela1[Month],Expenses!F$2,Tabela1[Category],Expenses!$A8)</f>
        <v>0</v>
      </c>
      <c r="G8" s="76">
        <f>SUMIFS(Tabela1[Amount],Tabela1[Month],Expenses!G$2,Tabela1[Category],Expenses!$A8)</f>
        <v>0</v>
      </c>
      <c r="H8" s="76">
        <f>SUMIFS(Tabela1[Amount],Tabela1[Month],Expenses!H$2,Tabela1[Category],Expenses!$A8)</f>
        <v>0</v>
      </c>
      <c r="I8" s="76">
        <f>SUMIFS(Tabela1[Amount],Tabela1[Month],Expenses!I$2,Tabela1[Category],Expenses!$A8)</f>
        <v>0</v>
      </c>
      <c r="J8" s="76">
        <f>SUMIFS(Tabela1[Amount],Tabela1[Month],Expenses!J$2,Tabela1[Category],Expenses!$A8)</f>
        <v>0</v>
      </c>
      <c r="K8" s="76">
        <f>SUMIFS(Tabela1[Amount],Tabela1[Month],Expenses!K$2,Tabela1[Category],Expenses!$A8)</f>
        <v>0</v>
      </c>
      <c r="L8" s="76">
        <f>SUMIFS(Tabela1[Amount],Tabela1[Month],Expenses!L$2,Tabela1[Category],Expenses!$A8)</f>
        <v>0</v>
      </c>
      <c r="M8" s="76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6">
        <f>SUMIFS(Tabela1[Amount],Tabela1[Month],Expenses!B$2,Tabela1[Category],Expenses!$A9)</f>
        <v>0</v>
      </c>
      <c r="C9" s="76">
        <f>SUMIFS(Tabela1[Amount],Tabela1[Month],Expenses!C$2,Tabela1[Category],Expenses!$A9)</f>
        <v>0</v>
      </c>
      <c r="D9" s="76">
        <f>SUMIFS(Tabela1[Amount],Tabela1[Month],Expenses!D$2,Tabela1[Category],Expenses!$A9)</f>
        <v>0</v>
      </c>
      <c r="E9" s="76">
        <f>SUMIFS(Tabela1[Amount],Tabela1[Month],Expenses!E$2,Tabela1[Category],Expenses!$A9)</f>
        <v>0</v>
      </c>
      <c r="F9" s="76">
        <f>SUMIFS(Tabela1[Amount],Tabela1[Month],Expenses!F$2,Tabela1[Category],Expenses!$A9)</f>
        <v>0</v>
      </c>
      <c r="G9" s="76">
        <f>SUMIFS(Tabela1[Amount],Tabela1[Month],Expenses!G$2,Tabela1[Category],Expenses!$A9)</f>
        <v>0</v>
      </c>
      <c r="H9" s="76">
        <f>SUMIFS(Tabela1[Amount],Tabela1[Month],Expenses!H$2,Tabela1[Category],Expenses!$A9)</f>
        <v>0</v>
      </c>
      <c r="I9" s="76">
        <f>SUMIFS(Tabela1[Amount],Tabela1[Month],Expenses!I$2,Tabela1[Category],Expenses!$A9)</f>
        <v>0</v>
      </c>
      <c r="J9" s="76">
        <f>SUMIFS(Tabela1[Amount],Tabela1[Month],Expenses!J$2,Tabela1[Category],Expenses!$A9)</f>
        <v>0</v>
      </c>
      <c r="K9" s="76">
        <f>SUMIFS(Tabela1[Amount],Tabela1[Month],Expenses!K$2,Tabela1[Category],Expenses!$A9)</f>
        <v>0</v>
      </c>
      <c r="L9" s="76">
        <f>SUMIFS(Tabela1[Amount],Tabela1[Month],Expenses!L$2,Tabela1[Category],Expenses!$A9)</f>
        <v>0</v>
      </c>
      <c r="M9" s="76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6">
        <f>SUMIFS(Tabela1[Amount],Tabela1[Month],Expenses!B$2,Tabela1[Category],Expenses!$A10)</f>
        <v>0</v>
      </c>
      <c r="C10" s="76">
        <f>SUMIFS(Tabela1[Amount],Tabela1[Month],Expenses!C$2,Tabela1[Category],Expenses!$A10)</f>
        <v>0</v>
      </c>
      <c r="D10" s="76">
        <f>SUMIFS(Tabela1[Amount],Tabela1[Month],Expenses!D$2,Tabela1[Category],Expenses!$A10)</f>
        <v>0</v>
      </c>
      <c r="E10" s="76">
        <f>SUMIFS(Tabela1[Amount],Tabela1[Month],Expenses!E$2,Tabela1[Category],Expenses!$A10)</f>
        <v>0</v>
      </c>
      <c r="F10" s="76">
        <f>SUMIFS(Tabela1[Amount],Tabela1[Month],Expenses!F$2,Tabela1[Category],Expenses!$A10)</f>
        <v>0</v>
      </c>
      <c r="G10" s="76">
        <f>SUMIFS(Tabela1[Amount],Tabela1[Month],Expenses!G$2,Tabela1[Category],Expenses!$A10)</f>
        <v>0</v>
      </c>
      <c r="H10" s="76">
        <f>SUMIFS(Tabela1[Amount],Tabela1[Month],Expenses!H$2,Tabela1[Category],Expenses!$A10)</f>
        <v>0</v>
      </c>
      <c r="I10" s="76">
        <f>SUMIFS(Tabela1[Amount],Tabela1[Month],Expenses!I$2,Tabela1[Category],Expenses!$A10)</f>
        <v>0</v>
      </c>
      <c r="J10" s="76">
        <f>SUMIFS(Tabela1[Amount],Tabela1[Month],Expenses!J$2,Tabela1[Category],Expenses!$A10)</f>
        <v>0</v>
      </c>
      <c r="K10" s="76">
        <f>SUMIFS(Tabela1[Amount],Tabela1[Month],Expenses!K$2,Tabela1[Category],Expenses!$A10)</f>
        <v>0</v>
      </c>
      <c r="L10" s="76">
        <f>SUMIFS(Tabela1[Amount],Tabela1[Month],Expenses!L$2,Tabela1[Category],Expenses!$A10)</f>
        <v>0</v>
      </c>
      <c r="M10" s="76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6">
        <f>SUMIFS(Tabela1[Amount],Tabela1[Month],Expenses!B$2,Tabela1[Category],Expenses!$A11)</f>
        <v>0</v>
      </c>
      <c r="C11" s="76">
        <f>SUMIFS(Tabela1[Amount],Tabela1[Month],Expenses!C$2,Tabela1[Category],Expenses!$A11)</f>
        <v>0</v>
      </c>
      <c r="D11" s="76">
        <f>SUMIFS(Tabela1[Amount],Tabela1[Month],Expenses!D$2,Tabela1[Category],Expenses!$A11)</f>
        <v>0</v>
      </c>
      <c r="E11" s="76">
        <f>SUMIFS(Tabela1[Amount],Tabela1[Month],Expenses!E$2,Tabela1[Category],Expenses!$A11)</f>
        <v>0</v>
      </c>
      <c r="F11" s="76">
        <f>SUMIFS(Tabela1[Amount],Tabela1[Month],Expenses!F$2,Tabela1[Category],Expenses!$A11)</f>
        <v>0</v>
      </c>
      <c r="G11" s="76">
        <f>SUMIFS(Tabela1[Amount],Tabela1[Month],Expenses!G$2,Tabela1[Category],Expenses!$A11)</f>
        <v>0</v>
      </c>
      <c r="H11" s="76">
        <f>SUMIFS(Tabela1[Amount],Tabela1[Month],Expenses!H$2,Tabela1[Category],Expenses!$A11)</f>
        <v>0</v>
      </c>
      <c r="I11" s="76">
        <f>SUMIFS(Tabela1[Amount],Tabela1[Month],Expenses!I$2,Tabela1[Category],Expenses!$A11)</f>
        <v>0</v>
      </c>
      <c r="J11" s="76">
        <f>SUMIFS(Tabela1[Amount],Tabela1[Month],Expenses!J$2,Tabela1[Category],Expenses!$A11)</f>
        <v>0</v>
      </c>
      <c r="K11" s="76">
        <f>SUMIFS(Tabela1[Amount],Tabela1[Month],Expenses!K$2,Tabela1[Category],Expenses!$A11)</f>
        <v>0</v>
      </c>
      <c r="L11" s="76">
        <f>SUMIFS(Tabela1[Amount],Tabela1[Month],Expenses!L$2,Tabela1[Category],Expenses!$A11)</f>
        <v>0</v>
      </c>
      <c r="M11" s="76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6">
        <f>SUMIFS(Tabela1[Amount],Tabela1[Month],Expenses!B$2,Tabela1[Category],Expenses!$A12)</f>
        <v>0</v>
      </c>
      <c r="C12" s="76">
        <f>SUMIFS(Tabela1[Amount],Tabela1[Month],Expenses!C$2,Tabela1[Category],Expenses!$A12)</f>
        <v>0</v>
      </c>
      <c r="D12" s="76">
        <f>SUMIFS(Tabela1[Amount],Tabela1[Month],Expenses!D$2,Tabela1[Category],Expenses!$A12)</f>
        <v>0</v>
      </c>
      <c r="E12" s="76">
        <f>SUMIFS(Tabela1[Amount],Tabela1[Month],Expenses!E$2,Tabela1[Category],Expenses!$A12)</f>
        <v>0</v>
      </c>
      <c r="F12" s="76">
        <f>SUMIFS(Tabela1[Amount],Tabela1[Month],Expenses!F$2,Tabela1[Category],Expenses!$A12)</f>
        <v>0</v>
      </c>
      <c r="G12" s="76">
        <f>SUMIFS(Tabela1[Amount],Tabela1[Month],Expenses!G$2,Tabela1[Category],Expenses!$A12)</f>
        <v>0</v>
      </c>
      <c r="H12" s="76">
        <f>SUMIFS(Tabela1[Amount],Tabela1[Month],Expenses!H$2,Tabela1[Category],Expenses!$A12)</f>
        <v>0</v>
      </c>
      <c r="I12" s="76">
        <f>SUMIFS(Tabela1[Amount],Tabela1[Month],Expenses!I$2,Tabela1[Category],Expenses!$A12)</f>
        <v>0</v>
      </c>
      <c r="J12" s="76">
        <f>SUMIFS(Tabela1[Amount],Tabela1[Month],Expenses!J$2,Tabela1[Category],Expenses!$A12)</f>
        <v>0</v>
      </c>
      <c r="K12" s="76">
        <f>SUMIFS(Tabela1[Amount],Tabela1[Month],Expenses!K$2,Tabela1[Category],Expenses!$A12)</f>
        <v>0</v>
      </c>
      <c r="L12" s="76">
        <f>SUMIFS(Tabela1[Amount],Tabela1[Month],Expenses!L$2,Tabela1[Category],Expenses!$A12)</f>
        <v>0</v>
      </c>
      <c r="M12" s="76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6">
        <f>SUMIFS(Tabela1[Amount],Tabela1[Month],Expenses!B$2,Tabela1[Category],Expenses!$A13)</f>
        <v>0</v>
      </c>
      <c r="C13" s="76">
        <f>SUMIFS(Tabela1[Amount],Tabela1[Month],Expenses!C$2,Tabela1[Category],Expenses!$A13)</f>
        <v>0</v>
      </c>
      <c r="D13" s="76">
        <f>SUMIFS(Tabela1[Amount],Tabela1[Month],Expenses!D$2,Tabela1[Category],Expenses!$A13)</f>
        <v>0</v>
      </c>
      <c r="E13" s="76">
        <f>SUMIFS(Tabela1[Amount],Tabela1[Month],Expenses!E$2,Tabela1[Category],Expenses!$A13)</f>
        <v>0</v>
      </c>
      <c r="F13" s="76">
        <f>SUMIFS(Tabela1[Amount],Tabela1[Month],Expenses!F$2,Tabela1[Category],Expenses!$A13)</f>
        <v>0</v>
      </c>
      <c r="G13" s="76">
        <f>SUMIFS(Tabela1[Amount],Tabela1[Month],Expenses!G$2,Tabela1[Category],Expenses!$A13)</f>
        <v>0</v>
      </c>
      <c r="H13" s="76">
        <f>SUMIFS(Tabela1[Amount],Tabela1[Month],Expenses!H$2,Tabela1[Category],Expenses!$A13)</f>
        <v>0</v>
      </c>
      <c r="I13" s="76">
        <f>SUMIFS(Tabela1[Amount],Tabela1[Month],Expenses!I$2,Tabela1[Category],Expenses!$A13)</f>
        <v>0</v>
      </c>
      <c r="J13" s="76">
        <f>SUMIFS(Tabela1[Amount],Tabela1[Month],Expenses!J$2,Tabela1[Category],Expenses!$A13)</f>
        <v>0</v>
      </c>
      <c r="K13" s="76">
        <f>SUMIFS(Tabela1[Amount],Tabela1[Month],Expenses!K$2,Tabela1[Category],Expenses!$A13)</f>
        <v>0</v>
      </c>
      <c r="L13" s="76">
        <f>SUMIFS(Tabela1[Amount],Tabela1[Month],Expenses!L$2,Tabela1[Category],Expenses!$A13)</f>
        <v>0</v>
      </c>
      <c r="M13" s="76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6">
        <f>SUMIFS(Tabela1[Amount],Tabela1[Month],Expenses!B$2,Tabela1[Category],Expenses!$A14)</f>
        <v>0</v>
      </c>
      <c r="C14" s="76">
        <f>SUMIFS(Tabela1[Amount],Tabela1[Month],Expenses!C$2,Tabela1[Category],Expenses!$A14)</f>
        <v>0</v>
      </c>
      <c r="D14" s="76">
        <f>SUMIFS(Tabela1[Amount],Tabela1[Month],Expenses!D$2,Tabela1[Category],Expenses!$A14)</f>
        <v>0</v>
      </c>
      <c r="E14" s="76">
        <f>SUMIFS(Tabela1[Amount],Tabela1[Month],Expenses!E$2,Tabela1[Category],Expenses!$A14)</f>
        <v>0</v>
      </c>
      <c r="F14" s="76">
        <f>SUMIFS(Tabela1[Amount],Tabela1[Month],Expenses!F$2,Tabela1[Category],Expenses!$A14)</f>
        <v>0</v>
      </c>
      <c r="G14" s="76">
        <f>SUMIFS(Tabela1[Amount],Tabela1[Month],Expenses!G$2,Tabela1[Category],Expenses!$A14)</f>
        <v>0</v>
      </c>
      <c r="H14" s="76">
        <f>SUMIFS(Tabela1[Amount],Tabela1[Month],Expenses!H$2,Tabela1[Category],Expenses!$A14)</f>
        <v>0</v>
      </c>
      <c r="I14" s="76">
        <f>SUMIFS(Tabela1[Amount],Tabela1[Month],Expenses!I$2,Tabela1[Category],Expenses!$A14)</f>
        <v>0</v>
      </c>
      <c r="J14" s="76">
        <f>SUMIFS(Tabela1[Amount],Tabela1[Month],Expenses!J$2,Tabela1[Category],Expenses!$A14)</f>
        <v>0</v>
      </c>
      <c r="K14" s="76">
        <f>SUMIFS(Tabela1[Amount],Tabela1[Month],Expenses!K$2,Tabela1[Category],Expenses!$A14)</f>
        <v>0</v>
      </c>
      <c r="L14" s="76">
        <f>SUMIFS(Tabela1[Amount],Tabela1[Month],Expenses!L$2,Tabela1[Category],Expenses!$A14)</f>
        <v>0</v>
      </c>
      <c r="M14" s="76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6">
        <f>SUMIFS(Tabela1[Amount],Tabela1[Month],Expenses!B$2,Tabela1[Category],Expenses!$A15)</f>
        <v>0</v>
      </c>
      <c r="C15" s="76">
        <f>SUMIFS(Tabela1[Amount],Tabela1[Month],Expenses!C$2,Tabela1[Category],Expenses!$A15)</f>
        <v>0</v>
      </c>
      <c r="D15" s="76">
        <f>SUMIFS(Tabela1[Amount],Tabela1[Month],Expenses!D$2,Tabela1[Category],Expenses!$A15)</f>
        <v>0</v>
      </c>
      <c r="E15" s="76">
        <f>SUMIFS(Tabela1[Amount],Tabela1[Month],Expenses!E$2,Tabela1[Category],Expenses!$A15)</f>
        <v>0</v>
      </c>
      <c r="F15" s="76">
        <f>SUMIFS(Tabela1[Amount],Tabela1[Month],Expenses!F$2,Tabela1[Category],Expenses!$A15)</f>
        <v>0</v>
      </c>
      <c r="G15" s="76">
        <f>SUMIFS(Tabela1[Amount],Tabela1[Month],Expenses!G$2,Tabela1[Category],Expenses!$A15)</f>
        <v>0</v>
      </c>
      <c r="H15" s="76">
        <f>SUMIFS(Tabela1[Amount],Tabela1[Month],Expenses!H$2,Tabela1[Category],Expenses!$A15)</f>
        <v>0</v>
      </c>
      <c r="I15" s="76">
        <f>SUMIFS(Tabela1[Amount],Tabela1[Month],Expenses!I$2,Tabela1[Category],Expenses!$A15)</f>
        <v>0</v>
      </c>
      <c r="J15" s="76">
        <f>SUMIFS(Tabela1[Amount],Tabela1[Month],Expenses!J$2,Tabela1[Category],Expenses!$A15)</f>
        <v>0</v>
      </c>
      <c r="K15" s="76">
        <f>SUMIFS(Tabela1[Amount],Tabela1[Month],Expenses!K$2,Tabela1[Category],Expenses!$A15)</f>
        <v>0</v>
      </c>
      <c r="L15" s="76">
        <f>SUMIFS(Tabela1[Amount],Tabela1[Month],Expenses!L$2,Tabela1[Category],Expenses!$A15)</f>
        <v>0</v>
      </c>
      <c r="M15" s="76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6">
        <f>SUMIFS(Tabela1[Amount],Tabela1[Month],Expenses!B$2,Tabela1[Category],Expenses!$A16)</f>
        <v>0</v>
      </c>
      <c r="C16" s="76">
        <f>SUMIFS(Tabela1[Amount],Tabela1[Month],Expenses!C$2,Tabela1[Category],Expenses!$A16)</f>
        <v>0</v>
      </c>
      <c r="D16" s="76">
        <f>SUMIFS(Tabela1[Amount],Tabela1[Month],Expenses!D$2,Tabela1[Category],Expenses!$A16)</f>
        <v>0</v>
      </c>
      <c r="E16" s="76">
        <f>SUMIFS(Tabela1[Amount],Tabela1[Month],Expenses!E$2,Tabela1[Category],Expenses!$A16)</f>
        <v>0</v>
      </c>
      <c r="F16" s="76">
        <f>SUMIFS(Tabela1[Amount],Tabela1[Month],Expenses!F$2,Tabela1[Category],Expenses!$A16)</f>
        <v>0</v>
      </c>
      <c r="G16" s="76">
        <f>SUMIFS(Tabela1[Amount],Tabela1[Month],Expenses!G$2,Tabela1[Category],Expenses!$A16)</f>
        <v>0</v>
      </c>
      <c r="H16" s="76">
        <f>SUMIFS(Tabela1[Amount],Tabela1[Month],Expenses!H$2,Tabela1[Category],Expenses!$A16)</f>
        <v>0</v>
      </c>
      <c r="I16" s="76">
        <f>SUMIFS(Tabela1[Amount],Tabela1[Month],Expenses!I$2,Tabela1[Category],Expenses!$A16)</f>
        <v>0</v>
      </c>
      <c r="J16" s="76">
        <f>SUMIFS(Tabela1[Amount],Tabela1[Month],Expenses!J$2,Tabela1[Category],Expenses!$A16)</f>
        <v>0</v>
      </c>
      <c r="K16" s="76">
        <f>SUMIFS(Tabela1[Amount],Tabela1[Month],Expenses!K$2,Tabela1[Category],Expenses!$A16)</f>
        <v>0</v>
      </c>
      <c r="L16" s="76">
        <f>SUMIFS(Tabela1[Amount],Tabela1[Month],Expenses!L$2,Tabela1[Category],Expenses!$A16)</f>
        <v>0</v>
      </c>
      <c r="M16" s="76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6">
        <f>SUMIFS(Tabela1[Amount],Tabela1[Month],Expenses!B$2,Tabela1[Category],Expenses!$A17)</f>
        <v>0</v>
      </c>
      <c r="C17" s="76">
        <f>SUMIFS(Tabela1[Amount],Tabela1[Month],Expenses!C$2,Tabela1[Category],Expenses!$A17)</f>
        <v>0</v>
      </c>
      <c r="D17" s="76">
        <f>SUMIFS(Tabela1[Amount],Tabela1[Month],Expenses!D$2,Tabela1[Category],Expenses!$A17)</f>
        <v>0</v>
      </c>
      <c r="E17" s="76">
        <f>SUMIFS(Tabela1[Amount],Tabela1[Month],Expenses!E$2,Tabela1[Category],Expenses!$A17)</f>
        <v>0</v>
      </c>
      <c r="F17" s="76">
        <f>SUMIFS(Tabela1[Amount],Tabela1[Month],Expenses!F$2,Tabela1[Category],Expenses!$A17)</f>
        <v>0</v>
      </c>
      <c r="G17" s="76">
        <f>SUMIFS(Tabela1[Amount],Tabela1[Month],Expenses!G$2,Tabela1[Category],Expenses!$A17)</f>
        <v>0</v>
      </c>
      <c r="H17" s="76">
        <f>SUMIFS(Tabela1[Amount],Tabela1[Month],Expenses!H$2,Tabela1[Category],Expenses!$A17)</f>
        <v>0</v>
      </c>
      <c r="I17" s="76">
        <f>SUMIFS(Tabela1[Amount],Tabela1[Month],Expenses!I$2,Tabela1[Category],Expenses!$A17)</f>
        <v>0</v>
      </c>
      <c r="J17" s="76">
        <f>SUMIFS(Tabela1[Amount],Tabela1[Month],Expenses!J$2,Tabela1[Category],Expenses!$A17)</f>
        <v>0</v>
      </c>
      <c r="K17" s="76">
        <f>SUMIFS(Tabela1[Amount],Tabela1[Month],Expenses!K$2,Tabela1[Category],Expenses!$A17)</f>
        <v>0</v>
      </c>
      <c r="L17" s="76">
        <f>SUMIFS(Tabela1[Amount],Tabela1[Month],Expenses!L$2,Tabela1[Category],Expenses!$A17)</f>
        <v>0</v>
      </c>
      <c r="M17" s="76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6">
        <f>SUMIFS(Tabela1[Amount],Tabela1[Month],Expenses!B$2,Tabela1[Category],Expenses!$A18)</f>
        <v>0</v>
      </c>
      <c r="C18" s="76">
        <f>SUMIFS(Tabela1[Amount],Tabela1[Month],Expenses!C$2,Tabela1[Category],Expenses!$A18)</f>
        <v>0</v>
      </c>
      <c r="D18" s="76">
        <f>SUMIFS(Tabela1[Amount],Tabela1[Month],Expenses!D$2,Tabela1[Category],Expenses!$A18)</f>
        <v>0</v>
      </c>
      <c r="E18" s="76">
        <f>SUMIFS(Tabela1[Amount],Tabela1[Month],Expenses!E$2,Tabela1[Category],Expenses!$A18)</f>
        <v>0</v>
      </c>
      <c r="F18" s="76">
        <f>SUMIFS(Tabela1[Amount],Tabela1[Month],Expenses!F$2,Tabela1[Category],Expenses!$A18)</f>
        <v>0</v>
      </c>
      <c r="G18" s="76">
        <f>SUMIFS(Tabela1[Amount],Tabela1[Month],Expenses!G$2,Tabela1[Category],Expenses!$A18)</f>
        <v>0</v>
      </c>
      <c r="H18" s="76">
        <f>SUMIFS(Tabela1[Amount],Tabela1[Month],Expenses!H$2,Tabela1[Category],Expenses!$A18)</f>
        <v>0</v>
      </c>
      <c r="I18" s="76">
        <f>SUMIFS(Tabela1[Amount],Tabela1[Month],Expenses!I$2,Tabela1[Category],Expenses!$A18)</f>
        <v>0</v>
      </c>
      <c r="J18" s="76">
        <f>SUMIFS(Tabela1[Amount],Tabela1[Month],Expenses!J$2,Tabela1[Category],Expenses!$A18)</f>
        <v>0</v>
      </c>
      <c r="K18" s="76">
        <f>SUMIFS(Tabela1[Amount],Tabela1[Month],Expenses!K$2,Tabela1[Category],Expenses!$A18)</f>
        <v>0</v>
      </c>
      <c r="L18" s="76">
        <f>SUMIFS(Tabela1[Amount],Tabela1[Month],Expenses!L$2,Tabela1[Category],Expenses!$A18)</f>
        <v>0</v>
      </c>
      <c r="M18" s="76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62</v>
      </c>
      <c r="C2" s="28" t="s">
        <v>49</v>
      </c>
      <c r="I2" s="28" t="s">
        <v>21</v>
      </c>
      <c r="J2" s="28" t="s">
        <v>56</v>
      </c>
    </row>
    <row r="3" spans="2:10" x14ac:dyDescent="0.3">
      <c r="B3" s="78" t="s">
        <v>0</v>
      </c>
      <c r="C3" s="79">
        <f>SUM(C6:C17)</f>
        <v>0</v>
      </c>
      <c r="I3" s="78" t="s">
        <v>0</v>
      </c>
      <c r="J3" s="79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80" t="s">
        <v>41</v>
      </c>
      <c r="L2" s="81"/>
      <c r="M2" s="24"/>
      <c r="N2" s="80" t="s">
        <v>47</v>
      </c>
      <c r="O2" s="81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42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43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36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44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45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46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40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37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40</v>
      </c>
      <c r="I15" s="43">
        <f>'Graphic Annual'!L9</f>
        <v>0</v>
      </c>
    </row>
    <row r="16" spans="1:16" x14ac:dyDescent="0.3">
      <c r="A16" s="5" t="s">
        <v>35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Graphic Categories</vt:lpstr>
      <vt:lpstr>Graphic Annual</vt:lpstr>
      <vt:lpstr>Assets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2024-01-28T16:21:31Z</dcterms:modified>
</cp:coreProperties>
</file>