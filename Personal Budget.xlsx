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8E4305E4-7384-4859-8511-AFC34D38E465}" xr6:coauthVersionLast="47" xr6:coauthVersionMax="47" xr10:uidLastSave="{00000000-0000-0000-0000-000000000000}"/>
  <bookViews>
    <workbookView xWindow="-114" yWindow="-114" windowWidth="19704" windowHeight="11178" tabRatio="792" xr2:uid="{00000000-000D-0000-FFFF-FFFF00000000}"/>
  </bookViews>
  <sheets>
    <sheet name="Data Validation" sheetId="15" r:id="rId1"/>
    <sheet name="Balance &amp; Tracking" sheetId="12" r:id="rId2"/>
    <sheet name="Net Salary" sheetId="8" r:id="rId3"/>
    <sheet name="Expenses" sheetId="1" r:id="rId4"/>
    <sheet name="Graphic Categories" sheetId="14" r:id="rId5"/>
    <sheet name="Graphic Annual" sheetId="13" r:id="rId6"/>
  </sheets>
  <definedNames>
    <definedName name="Assets">'Data Validation'!$B$5:$B$7</definedName>
    <definedName name="Dash">'Graphic Annual'!$A$1:$P$26</definedName>
    <definedName name="Discount">'Data Validation'!$H$5:$H$9</definedName>
    <definedName name="Expenses">'Data Validation'!$D$5:$D$16</definedName>
    <definedName name="Income">'Data Validation'!$J$5:$J$9</definedName>
    <definedName name="Investments">'Data Validation'!$F$5:$F$6</definedName>
    <definedName name="Months">'Data Validation'!$P$5:$P$16</definedName>
    <definedName name="Net_Salary">'Data Validation'!$N$5:$N$16</definedName>
    <definedName name="Transfer">'Data Validation'!$L$5:$L$7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2" l="1"/>
  <c r="C19" i="12"/>
  <c r="C20" i="12"/>
  <c r="C17" i="12"/>
  <c r="N3" i="13" a="1"/>
  <c r="N3" i="13" s="1"/>
  <c r="A3" i="13" a="1"/>
  <c r="A3" i="13" s="1"/>
  <c r="I6" i="14" a="1"/>
  <c r="I6" i="14" s="1"/>
  <c r="B6" i="14" a="1"/>
  <c r="B6" i="14" s="1"/>
  <c r="A7" i="1" a="1"/>
  <c r="A7" i="1" s="1"/>
  <c r="B2" i="1" a="1"/>
  <c r="B2" i="1" s="1"/>
  <c r="B2" i="8" a="1"/>
  <c r="B2" i="8" s="1"/>
  <c r="A3" i="8" a="1"/>
  <c r="A3" i="8" s="1"/>
  <c r="E3" i="12" a="1"/>
  <c r="E3" i="12" s="1"/>
  <c r="B9" i="12" a="1"/>
  <c r="B9" i="12" s="1"/>
  <c r="N15" i="15" a="1"/>
  <c r="N15" i="15" s="1"/>
  <c r="N10" i="15" a="1"/>
  <c r="N10" i="15" s="1"/>
  <c r="N5" i="15" a="1"/>
  <c r="N5" i="15" s="1"/>
  <c r="L5" i="15" a="1"/>
  <c r="L5" i="15" s="1"/>
  <c r="C11" i="12" l="1" a="1"/>
  <c r="C11" i="12" s="1"/>
  <c r="C10" i="12" a="1"/>
  <c r="C10" i="12" s="1"/>
  <c r="C9" i="12" a="1"/>
  <c r="C9" i="12" s="1"/>
  <c r="C12" i="12" l="1"/>
  <c r="A18" i="8" l="1"/>
  <c r="C248" i="12" l="1"/>
  <c r="M18" i="1"/>
  <c r="C4" i="8" l="1"/>
  <c r="C8" i="8"/>
  <c r="C12" i="8"/>
  <c r="D4" i="8"/>
  <c r="D8" i="8"/>
  <c r="D12" i="8"/>
  <c r="E4" i="8"/>
  <c r="E8" i="8"/>
  <c r="E12" i="8"/>
  <c r="F4" i="8"/>
  <c r="F8" i="8"/>
  <c r="F12" i="8"/>
  <c r="G4" i="8"/>
  <c r="G8" i="8"/>
  <c r="G12" i="8"/>
  <c r="H4" i="8"/>
  <c r="H8" i="8"/>
  <c r="H12" i="8"/>
  <c r="I4" i="8"/>
  <c r="I8" i="8"/>
  <c r="I12" i="8"/>
  <c r="J4" i="8"/>
  <c r="J8" i="8"/>
  <c r="J12" i="8"/>
  <c r="K4" i="8"/>
  <c r="K8" i="8"/>
  <c r="K12" i="8"/>
  <c r="L4" i="8"/>
  <c r="L8" i="8"/>
  <c r="L12" i="8"/>
  <c r="M4" i="8"/>
  <c r="M8" i="8"/>
  <c r="M12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3" i="8"/>
  <c r="C6" i="8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3" i="8"/>
  <c r="C7" i="8"/>
  <c r="C11" i="8"/>
  <c r="D3" i="8"/>
  <c r="D7" i="8"/>
  <c r="D11" i="8"/>
  <c r="E3" i="8"/>
  <c r="E7" i="8"/>
  <c r="E11" i="8"/>
  <c r="F3" i="8"/>
  <c r="F7" i="8"/>
  <c r="F11" i="8"/>
  <c r="G3" i="8"/>
  <c r="G7" i="8"/>
  <c r="G11" i="8"/>
  <c r="H3" i="8"/>
  <c r="H7" i="8"/>
  <c r="H11" i="8"/>
  <c r="I3" i="8"/>
  <c r="I7" i="8"/>
  <c r="I11" i="8"/>
  <c r="J3" i="8"/>
  <c r="J7" i="8"/>
  <c r="J11" i="8"/>
  <c r="K3" i="8"/>
  <c r="K7" i="8"/>
  <c r="K11" i="8"/>
  <c r="L3" i="8"/>
  <c r="L7" i="8"/>
  <c r="L11" i="8"/>
  <c r="M3" i="8"/>
  <c r="M7" i="8"/>
  <c r="M11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J6" i="14" l="1" a="1"/>
  <c r="J6" i="14" s="1"/>
  <c r="M18" i="8"/>
  <c r="I18" i="8"/>
  <c r="E18" i="8"/>
  <c r="J18" i="8"/>
  <c r="F18" i="8"/>
  <c r="K18" i="8"/>
  <c r="G18" i="8"/>
  <c r="C18" i="8"/>
  <c r="L18" i="8"/>
  <c r="H18" i="8"/>
  <c r="D18" i="8"/>
  <c r="K16" i="8"/>
  <c r="E16" i="8"/>
  <c r="G16" i="8"/>
  <c r="C16" i="8"/>
  <c r="M16" i="8"/>
  <c r="I16" i="8"/>
  <c r="L16" i="8"/>
  <c r="D16" i="8"/>
  <c r="H16" i="8"/>
  <c r="O3" i="13"/>
  <c r="D13" i="13"/>
  <c r="D9" i="13"/>
  <c r="D5" i="13"/>
  <c r="D14" i="13"/>
  <c r="D10" i="13"/>
  <c r="D6" i="13"/>
  <c r="D11" i="13"/>
  <c r="D7" i="13"/>
  <c r="J16" i="8"/>
  <c r="F16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7" i="8"/>
  <c r="C6" i="14" s="1" a="1"/>
  <c r="C6" i="14" s="1"/>
  <c r="C3" i="14" s="1"/>
  <c r="B11" i="8"/>
  <c r="B4" i="8"/>
  <c r="B12" i="8"/>
  <c r="B6" i="8"/>
  <c r="B14" i="8"/>
  <c r="B8" i="1"/>
  <c r="B12" i="1"/>
  <c r="O8" i="13" s="1"/>
  <c r="B16" i="1"/>
  <c r="O12" i="13" s="1"/>
  <c r="B8" i="8"/>
  <c r="B10" i="8"/>
  <c r="B9" i="1"/>
  <c r="O5" i="13" s="1"/>
  <c r="B13" i="1"/>
  <c r="O9" i="13" s="1"/>
  <c r="B17" i="1"/>
  <c r="B5" i="8"/>
  <c r="B9" i="8"/>
  <c r="B13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F3" i="12" l="1" a="1"/>
  <c r="F3" i="12" s="1"/>
  <c r="B18" i="8"/>
  <c r="O13" i="13"/>
  <c r="J3" i="14"/>
  <c r="B16" i="8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K4" i="1"/>
  <c r="I12" i="13" s="1"/>
  <c r="H12" i="13" l="1"/>
  <c r="L4" i="1"/>
  <c r="I13" i="13" s="1"/>
  <c r="H13" i="13" l="1"/>
  <c r="C13" i="12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<sst xmlns="http://schemas.openxmlformats.org/spreadsheetml/2006/main" count="119" uniqueCount="78">
  <si>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</si>
  <si>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</si>
  <si>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</si>
  <si>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</si>
  <si>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</si>
  <si>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</si>
  <si>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</si>
  <si>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</si>
  <si>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</si>
  <si>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</si>
  <si>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</si>
  <si>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</si>
  <si>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</si>
  <si>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</si>
  <si>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</si>
  <si>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</si>
  <si>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</si>
  <si>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</si>
  <si>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</si>
  <si>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</si>
  <si>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</si>
  <si>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</si>
  <si>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</si>
  <si>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</si>
  <si>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</si>
  <si>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Bank 2</t>
  </si>
  <si>
    <t>Wallet</t>
  </si>
  <si>
    <t>Real Balance</t>
  </si>
  <si>
    <t>Difference</t>
  </si>
  <si>
    <t>Date</t>
  </si>
  <si>
    <t>Operation</t>
  </si>
  <si>
    <t>Category</t>
  </si>
  <si>
    <t>Allocation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</si>
  <si>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</si>
  <si>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</si>
  <si>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</si>
  <si>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</si>
  <si>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</si>
  <si>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</si>
  <si>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</si>
  <si>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</si>
  <si>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</si>
  <si>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</si>
  <si>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</si>
  <si>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</si>
  <si>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</si>
  <si>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</si>
  <si>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</si>
  <si>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</si>
  <si>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</si>
  <si>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</si>
  <si>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</si>
  <si>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</si>
  <si>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</si>
  <si>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</si>
  <si>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</si>
  <si>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</si>
  <si>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</si>
  <si>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</si>
  <si>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</si>
  <si>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</si>
  <si>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</si>
  <si>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Net_Salary</t>
  </si>
  <si>
    <t>Seals II</t>
  </si>
  <si>
    <t>Bank Fee II</t>
  </si>
  <si>
    <t>Personal Care</t>
  </si>
  <si>
    <t>Travel</t>
  </si>
  <si>
    <t>Insurance</t>
  </si>
  <si>
    <t>Bank Fee I</t>
  </si>
  <si>
    <t>Assets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</si>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</sst>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2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0" fontId="3" fillId="5" borderId="0" xfId="0" applyFont="1" applyFill="1"/>
    <xf numFmtId="44" fontId="3" fillId="5" borderId="0" xfId="1" applyFont="1" applyFill="1"/>
    <xf numFmtId="166" fontId="3" fillId="5" borderId="0" xfId="1" applyNumberFormat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left"/>
    </xf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0" fontId="3" fillId="6" borderId="1" xfId="0" applyFont="1" applyFill="1" applyBorder="1" applyAlignment="1">
      <alignment horizontal="left"/>
    </xf>
    <xf numFmtId="44" fontId="3" fillId="6" borderId="1" xfId="0" applyNumberFormat="1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3"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2"/>
      <tableStyleElement type="headerRow" dxfId="11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78717146972417"/>
          <c:y val="0"/>
          <c:w val="0.85821282853027581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Categories'!$C$5</c:f>
              <c:strCache>
                <c:ptCount val="1"/>
                <c:pt idx="0">
                  <c:v>Amount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Categories'!$B$6:$B$17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Categories'!$C$6:$C$17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F-4F8F-B475-A1E2E6590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128784240"/>
        <c:axId val="1981972528"/>
      </c:barChart>
      <c:catAx>
        <c:axId val="1287842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81972528"/>
        <c:crosses val="autoZero"/>
        <c:auto val="1"/>
        <c:lblAlgn val="ctr"/>
        <c:lblOffset val="100"/>
        <c:noMultiLvlLbl val="0"/>
      </c:catAx>
      <c:valAx>
        <c:axId val="1981972528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128784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19363859177192"/>
          <c:y val="0"/>
          <c:w val="0.85480636140822808"/>
          <c:h val="1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'Graphic Categories'!$J$5</c:f>
              <c:strCache>
                <c:ptCount val="1"/>
                <c:pt idx="0">
                  <c:v> Amount 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Categories'!$I$6:$I$17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Categories'!$J$6:$J$17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E-409B-8C34-E661A1256A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58"/>
        <c:axId val="313549504"/>
        <c:axId val="307726576"/>
      </c:barChart>
      <c:catAx>
        <c:axId val="313549504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07726576"/>
        <c:crosses val="autoZero"/>
        <c:auto val="1"/>
        <c:lblAlgn val="ctr"/>
        <c:lblOffset val="100"/>
        <c:noMultiLvlLbl val="0"/>
      </c:catAx>
      <c:valAx>
        <c:axId val="307726576"/>
        <c:scaling>
          <c:orientation val="minMax"/>
        </c:scaling>
        <c:delete val="1"/>
        <c:axPos val="t"/>
        <c:majorGridlines>
          <c:spPr>
            <a:ln w="9525" cap="flat" cmpd="sng" algn="ctr">
              <a:gradFill>
                <a:gsLst>
                  <a:gs pos="99000">
                    <a:schemeClr val="tx1">
                      <a:lumMod val="25000"/>
                      <a:lumOff val="75000"/>
                    </a:schemeClr>
                  </a:gs>
                  <a:gs pos="0">
                    <a:schemeClr val="tx1">
                      <a:lumMod val="15000"/>
                      <a:lumOff val="8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crossAx val="313549504"/>
        <c:crosses val="autoZero"/>
        <c:crossBetween val="between"/>
      </c:valAx>
      <c:spPr>
        <a:solidFill>
          <a:sysClr val="window" lastClr="FFFFFF"/>
        </a:soli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'Graphic Annual'!$C$2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'Graphic Annual'!$F$2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'Graphic Annual'!$D$2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'Graphic Annual'!$A$3:$A$14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'Graphic Annual'!$D$3:$D$14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ser>
          <c:idx val="3"/>
          <c:order val="3"/>
          <c:tx>
            <c:v>Real Balance</c:v>
          </c:tx>
          <c:spPr>
            <a:ln w="25400" cap="rnd">
              <a:noFill/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dash"/>
            <c:size val="20"/>
            <c:spPr>
              <a:solidFill>
                <a:schemeClr val="accent3">
                  <a:lumMod val="75000"/>
                  <a:alpha val="50000"/>
                </a:schemeClr>
              </a:solidFill>
              <a:ln w="25400">
                <a:solidFill>
                  <a:srgbClr val="FF0000">
                    <a:alpha val="50000"/>
                  </a:srgbClr>
                </a:solidFill>
                <a:round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</c:marker>
          <c:yVal>
            <c:numRef>
              <c:f>'Graphic Annual'!$I$3:$I$14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87-4164-865E-BEA342119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'Graphic Annual'!$K$2:$K$10</c15:sqref>
                  </c15:fullRef>
                </c:ext>
              </c:extLst>
              <c:f>('Graphic Annual'!$K$3:$K$7,'Graphic Annual'!$K$10)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'Graphic Annual'!$L$2:$L$10</c15:sqref>
                  </c15:fullRef>
                </c:ext>
              </c:extLst>
              <c:f>('Graphic Annual'!$L$3:$L$7,'Graphic Annual'!$L$10)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'Graphic Annual'!$N$3:$N$13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'Graphic Annual'!$O$3:$O$13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</xdr:colOff>
      <xdr:row>0</xdr:row>
      <xdr:rowOff>21124</xdr:rowOff>
    </xdr:from>
    <xdr:to>
      <xdr:col>8</xdr:col>
      <xdr:colOff>0</xdr:colOff>
      <xdr:row>14</xdr:row>
      <xdr:rowOff>9389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4658</xdr:colOff>
      <xdr:row>3</xdr:row>
      <xdr:rowOff>189574</xdr:rowOff>
    </xdr:from>
    <xdr:to>
      <xdr:col>6</xdr:col>
      <xdr:colOff>578697</xdr:colOff>
      <xdr:row>24</xdr:row>
      <xdr:rowOff>37465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4F1A89A-1F34-E2C8-DAEF-21E74628F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7528</xdr:colOff>
      <xdr:row>4</xdr:row>
      <xdr:rowOff>3662</xdr:rowOff>
    </xdr:from>
    <xdr:to>
      <xdr:col>14</xdr:col>
      <xdr:colOff>366548</xdr:colOff>
      <xdr:row>24</xdr:row>
      <xdr:rowOff>43939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F7FA5FC-900E-AB25-6602-3A4F3C31FD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90535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42646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0" dataDxfId="9">
  <autoFilter ref="B16:H20" xr:uid="{739BA625-5E32-4F47-8323-C47308DEF24A}"/>
  <sortState xmlns:xlrd2="http://schemas.microsoft.com/office/spreadsheetml/2017/richdata2" ref="B17:H29">
    <sortCondition ref="B16:B29"/>
  </sortState>
  <tableColumns count="7">
    <tableColumn id="1" xr3:uid="{F0A7AC4E-C2B6-48F0-8ABD-146393E8FC69}" name="Date" dataDxfId="8"/>
    <tableColumn id="2" xr3:uid="{684795FD-753E-4C1F-B63E-5EE124E9D624}" name="Month" dataDxfId="7">
      <calculatedColumnFormula>IF(ISBLANK(B17),"",PROPER(TEXT(B17,"MMMM")))</calculatedColumnFormula>
    </tableColumn>
    <tableColumn id="6" xr3:uid="{23818CCC-08C7-4066-9B86-98D831460C75}" name="Operation" dataDxfId="6"/>
    <tableColumn id="3" xr3:uid="{78815540-1C3C-4370-A3E4-1C8E033CFC39}" name="Category" dataDxfId="5"/>
    <tableColumn id="7" xr3:uid="{F153B94E-6C60-4C63-A86C-8519A94E1F13}" name="Allocation" dataDxfId="4"/>
    <tableColumn id="4" xr3:uid="{EE54C9A2-2D53-4D6A-93DF-88B691A8C3D9}" name="Amount" dataDxfId="3" dataCellStyle="Moeda"/>
    <tableColumn id="5" xr3:uid="{28149A80-D409-4A63-B4C2-6EDA92C21F54}" name="Description" dataDxfId="2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P16"/>
  <sheetViews>
    <sheetView tabSelected="1" zoomScale="120" zoomScaleNormal="120" workbookViewId="0">
      <selection activeCell="B4" sqref="B4"/>
    </sheetView>
  </sheetViews>
  <sheetFormatPr defaultRowHeight="14.3" x14ac:dyDescent="0.25"/>
  <cols>
    <col min="1" max="1" width="3.5703125" style="72" customWidth="1"/>
    <col min="2" max="2" width="11.42578125" style="72" customWidth="1"/>
    <col min="3" max="3" width="3.5703125" style="72" customWidth="1"/>
    <col min="4" max="4" width="17.140625" style="72" customWidth="1"/>
    <col min="5" max="5" width="3.5703125" style="72" customWidth="1"/>
    <col min="6" max="6" width="17.140625" style="72" customWidth="1"/>
    <col min="7" max="7" width="3.5703125" style="72" customWidth="1"/>
    <col min="8" max="8" width="17.140625" style="72" customWidth="1"/>
    <col min="9" max="9" width="3.5703125" style="72" customWidth="1"/>
    <col min="10" max="10" width="17.140625" style="72" customWidth="1"/>
    <col min="11" max="11" width="3.5703125" style="72" customWidth="1"/>
    <col min="12" max="12" width="11.42578125" style="72" customWidth="1"/>
    <col min="13" max="13" width="3.5703125" style="72" customWidth="1"/>
    <col min="14" max="14" width="17.140625" style="72" customWidth="1"/>
    <col min="15" max="15" width="3.5703125" style="72" customWidth="1"/>
    <col min="16" max="16" width="11.42578125" style="72" customWidth="1"/>
    <col min="17" max="16384" width="9.140625" style="72"/>
  </cols>
  <sheetData>
    <row r="2" spans="2:16" x14ac:dyDescent="0.25">
      <c r="B2" s="72" t="s">
        <v>77</v>
      </c>
    </row>
    <row r="4" spans="2:16" ht="15" x14ac:dyDescent="0.3">
      <c r="B4" s="28" t="s">
        <v>69</v>
      </c>
      <c r="D4" s="28" t="s">
        <v>21</v>
      </c>
      <c r="F4" s="28" t="s">
        <v>37</v>
      </c>
      <c r="H4" s="28" t="s">
        <v>43</v>
      </c>
      <c r="J4" s="28" t="s">
        <v>48</v>
      </c>
      <c r="L4" s="28" t="s">
        <v>72</v>
      </c>
      <c r="N4" s="28" t="s">
        <v>34</v>
      </c>
      <c r="P4" s="28" t="s">
        <v>73</v>
      </c>
    </row>
    <row r="5" spans="2:16" x14ac:dyDescent="0.25">
      <c r="B5" s="73" t="s">
        <v>24</v>
      </c>
      <c r="D5" s="73" t="s">
        <v>56</v>
      </c>
      <c r="F5" s="73" t="s">
        <v>75</v>
      </c>
      <c r="H5" s="73" t="s">
        <v>53</v>
      </c>
      <c r="J5" s="73" t="s">
        <v>49</v>
      </c>
      <c r="L5" s="74" t="str" cm="1">
        <f t="array" ref="L5:L7">Assets</f>
        <v>Bank 1</v>
      </c>
      <c r="N5" s="74" t="str" cm="1">
        <f t="array" ref="N5:N9">Income</f>
        <v>Salary</v>
      </c>
      <c r="P5" s="74" t="s">
        <v>7</v>
      </c>
    </row>
    <row r="6" spans="2:16" x14ac:dyDescent="0.25">
      <c r="B6" s="73" t="s">
        <v>25</v>
      </c>
      <c r="D6" s="73" t="s">
        <v>76</v>
      </c>
      <c r="F6" s="73" t="s">
        <v>74</v>
      </c>
      <c r="H6" s="73" t="s">
        <v>52</v>
      </c>
      <c r="J6" s="73" t="s">
        <v>50</v>
      </c>
      <c r="L6" s="74" t="str">
        <v>Bank 2</v>
      </c>
      <c r="N6" s="74" t="str">
        <v>Seals</v>
      </c>
      <c r="P6" s="74" t="s">
        <v>8</v>
      </c>
    </row>
    <row r="7" spans="2:16" x14ac:dyDescent="0.25">
      <c r="B7" s="73" t="s">
        <v>26</v>
      </c>
      <c r="D7" s="73" t="s">
        <v>57</v>
      </c>
      <c r="H7" s="73" t="s">
        <v>68</v>
      </c>
      <c r="J7" s="73" t="s">
        <v>71</v>
      </c>
      <c r="L7" s="74" t="str">
        <v>Wallet</v>
      </c>
      <c r="N7" s="74" t="str">
        <v>Rent</v>
      </c>
      <c r="P7" s="74" t="s">
        <v>9</v>
      </c>
    </row>
    <row r="8" spans="2:16" x14ac:dyDescent="0.25">
      <c r="D8" s="73" t="s">
        <v>58</v>
      </c>
      <c r="H8" s="73" t="s">
        <v>64</v>
      </c>
      <c r="J8" s="73" t="s">
        <v>63</v>
      </c>
      <c r="N8" s="74" t="str">
        <v>Seals II</v>
      </c>
      <c r="P8" s="74" t="s">
        <v>10</v>
      </c>
    </row>
    <row r="9" spans="2:16" x14ac:dyDescent="0.25">
      <c r="D9" s="73" t="s">
        <v>55</v>
      </c>
      <c r="H9" s="73" t="s">
        <v>54</v>
      </c>
      <c r="J9" s="73" t="s">
        <v>51</v>
      </c>
      <c r="N9" s="74" t="str">
        <v>Other - Income</v>
      </c>
      <c r="P9" s="74" t="s">
        <v>11</v>
      </c>
    </row>
    <row r="10" spans="2:16" x14ac:dyDescent="0.25">
      <c r="D10" s="73" t="s">
        <v>5</v>
      </c>
      <c r="N10" s="74" t="str" cm="1">
        <f t="array" ref="N10:N14">Discount</f>
        <v>Tax I</v>
      </c>
      <c r="P10" s="74" t="s">
        <v>12</v>
      </c>
    </row>
    <row r="11" spans="2:16" x14ac:dyDescent="0.25">
      <c r="D11" s="73" t="s">
        <v>59</v>
      </c>
      <c r="N11" s="74" t="str">
        <v>Tax II</v>
      </c>
      <c r="P11" s="74" t="s">
        <v>13</v>
      </c>
    </row>
    <row r="12" spans="2:16" x14ac:dyDescent="0.25">
      <c r="D12" s="73" t="s">
        <v>60</v>
      </c>
      <c r="N12" s="74" t="str">
        <v>Bank Fee I</v>
      </c>
      <c r="P12" s="74" t="s">
        <v>14</v>
      </c>
    </row>
    <row r="13" spans="2:16" x14ac:dyDescent="0.25">
      <c r="D13" s="73" t="s">
        <v>67</v>
      </c>
      <c r="N13" s="74" t="str">
        <v>Bank Fee II</v>
      </c>
      <c r="P13" s="74" t="s">
        <v>15</v>
      </c>
    </row>
    <row r="14" spans="2:16" x14ac:dyDescent="0.25">
      <c r="D14" s="73" t="s">
        <v>65</v>
      </c>
      <c r="N14" s="74" t="str">
        <v>Other - Discount</v>
      </c>
      <c r="P14" s="74" t="s">
        <v>16</v>
      </c>
    </row>
    <row r="15" spans="2:16" x14ac:dyDescent="0.25">
      <c r="D15" s="73" t="s">
        <v>66</v>
      </c>
      <c r="N15" s="74" t="str" cm="1">
        <f t="array" ref="N15:N16">Investments</f>
        <v>Stock Market</v>
      </c>
      <c r="P15" s="74" t="s">
        <v>17</v>
      </c>
    </row>
    <row r="16" spans="2:16" x14ac:dyDescent="0.25">
      <c r="D16" s="73" t="s">
        <v>61</v>
      </c>
      <c r="N16" s="74" t="str">
        <v>Real Estate</v>
      </c>
      <c r="P16" s="74" t="s">
        <v>18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zoomScaleNormal="10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E2" s="65" t="s">
        <v>19</v>
      </c>
      <c r="F2" s="66" t="s">
        <v>20</v>
      </c>
    </row>
    <row r="3" spans="1:8" ht="14.3" customHeight="1" x14ac:dyDescent="0.3">
      <c r="B3" s="70" t="s">
        <v>21</v>
      </c>
      <c r="C3" s="35">
        <f>IF(B3="Expenses",HLOOKUP(B2,Expenses!B2:M20,19,FALSE),IF(B3="Net Salary",HLOOKUP(B2,'Net Salary'!B2:M16,15,FALSE),""))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Salary'!B3:M14,'Net Salary'!B2:M2=B2),""))</f>
        <v>0</v>
      </c>
      <c r="H3" s="54"/>
    </row>
    <row r="4" spans="1:8" ht="14.3" customHeight="1" x14ac:dyDescent="0.3">
      <c r="B4" s="15" t="s">
        <v>70</v>
      </c>
      <c r="C4" s="71" t="e">
        <f>HLOOKUP(B2,Expenses!B2:M20,19,FALSE)/HLOOKUP(B2,'Net Salary'!B2:M16,15,FALSE)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VLOOKUP(B2,'Graphic Annual'!A3:I14,9,FALSE)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'Graphic Annual'!I15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69</v>
      </c>
      <c r="C8" s="28" t="s">
        <v>0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1">Assets</f>
        <v>Bank 1</v>
      </c>
      <c r="C9" s="36" cm="1">
        <f t="array" aca="1" ref="C9" ca="1">SUM(SUMIFS(Tabela1[Amount],Tabela1[Operation],{"Income";"Transfer"},Tabela1[Allocation],B9,Tabela1[Date],"&lt;="&amp;(TODAY())))-SUMIFS(Tabela1[Amount],Tabela1[Operation],"&lt;&gt;Income",Tabela1[Operation],"&lt;&gt;Transfer",Tabela1[Allocation],B9,Tabela1[Date],"&lt;="&amp;(TODAY())) - SUMIFS(Tabela1[Amount],Tabela1[Category],B9,Tabela1[Date],"&lt;="&amp;(TODAY()))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SUM(SUMIFS(Tabela1[Amount],Tabela1[Operation],{"Income";"Transfer"},Tabela1[Allocation],B10,Tabela1[Date],"&lt;="&amp;(TODAY())))-SUMIFS(Tabela1[Amount],Tabela1[Operation],"&lt;&gt;Income",Tabela1[Operation],"&lt;&gt;Transfer",Tabela1[Allocation],B10,Tabela1[Date],"&lt;="&amp;(TODAY())) - SUMIFS(Tabela1[Amount],Tabela1[Category],B10,Tabela1[Date],"&lt;="&amp;(TODAY()))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Wallet</v>
      </c>
      <c r="C11" s="36" cm="1">
        <f t="array" aca="1" ref="C11" ca="1">SUM(SUMIFS(Tabela1[Amount],Tabela1[Operation],{"Income";"Transfer"},Tabela1[Allocation],B11,Tabela1[Date],"&lt;="&amp;(TODAY())))-SUMIFS(Tabela1[Amount],Tabela1[Operation],"&lt;&gt;Income",Tabela1[Operation],"&lt;&gt;Transfer",Tabela1[Allocation],B11,Tabela1[Date],"&lt;="&amp;(TODAY())) - SUMIFS(Tabela1[Amount],Tabela1[Category],B11,Tabela1[Date],"&lt;="&amp;(TODAY()))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">
        <v>27</v>
      </c>
      <c r="C12" s="36">
        <f ca="1">SUM(C9:C11)</f>
        <v>150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">
        <v>28</v>
      </c>
      <c r="C13" s="35">
        <f ca="1">ROUND(C5-C12,2)</f>
        <v>-150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54"/>
      <c r="C14" s="54"/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29</v>
      </c>
      <c r="C16" s="17" t="s">
        <v>6</v>
      </c>
      <c r="D16" s="17" t="s">
        <v>30</v>
      </c>
      <c r="E16" s="18" t="s">
        <v>31</v>
      </c>
      <c r="F16" s="18" t="s">
        <v>32</v>
      </c>
      <c r="G16" s="19" t="s">
        <v>20</v>
      </c>
      <c r="H16" s="18" t="s">
        <v>33</v>
      </c>
    </row>
    <row r="17" spans="2:8" ht="13.55" customHeight="1" x14ac:dyDescent="0.3">
      <c r="B17" s="20">
        <v>45292</v>
      </c>
      <c r="C17" s="21" t="str">
        <f t="shared" ref="C17:C20" si="0">IF(ISBLANK(B17),"",PROPER(TEXT(B17,"MMMM")))</f>
        <v>Janeiro</v>
      </c>
      <c r="D17" s="21" t="s">
        <v>48</v>
      </c>
      <c r="E17" s="22" t="s">
        <v>49</v>
      </c>
      <c r="F17" s="22" t="s">
        <v>24</v>
      </c>
      <c r="G17" s="37">
        <v>150</v>
      </c>
      <c r="H17" s="23"/>
    </row>
    <row r="18" spans="2:8" x14ac:dyDescent="0.3">
      <c r="B18" s="20"/>
      <c r="C18" s="21" t="str">
        <f t="shared" si="0"/>
        <v/>
      </c>
      <c r="D18" s="21"/>
      <c r="E18" s="22"/>
      <c r="F18" s="22"/>
      <c r="G18" s="37"/>
      <c r="H18" s="23"/>
    </row>
    <row r="19" spans="2:8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8" x14ac:dyDescent="0.3">
      <c r="B20" s="20"/>
      <c r="C20" s="21" t="str">
        <f t="shared" si="0"/>
        <v/>
      </c>
      <c r="D20" s="21"/>
      <c r="E20" s="22"/>
      <c r="F20" s="22"/>
      <c r="G20" s="37"/>
      <c r="H20" s="23"/>
    </row>
    <row r="23" spans="2:8" x14ac:dyDescent="0.3">
      <c r="G23" s="55"/>
    </row>
    <row r="25" spans="2:8" x14ac:dyDescent="0.3">
      <c r="G25" s="55"/>
    </row>
    <row r="26" spans="2:8" x14ac:dyDescent="0.3">
      <c r="G26" s="55"/>
    </row>
    <row r="27" spans="2:8" x14ac:dyDescent="0.3">
      <c r="G27" s="55"/>
    </row>
    <row r="28" spans="2:8" x14ac:dyDescent="0.3">
      <c r="G28" s="55"/>
    </row>
    <row r="38" spans="9:9" x14ac:dyDescent="0.3">
      <c r="I38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1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">
    <cfRule type="cellIs" dxfId="1" priority="2" operator="equal">
      <formula>0</formula>
    </cfRule>
    <cfRule type="cellIs" dxfId="0" priority="3" operator="notEqual">
      <formula>0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F17:F257" xr:uid="{0D51CC9B-6F94-4F85-BAFC-26C786BB30BC}">
      <formula1>Assets</formula1>
    </dataValidation>
    <dataValidation type="list" allowBlank="1" showInputMessage="1" showErrorMessage="1" sqref="D17:D20" xr:uid="{0261ACD4-BAB2-4EA0-87AC-74F751F397E2}">
      <formula1>"Income, Discount, Investments, Expenses, Transfer"</formula1>
    </dataValidation>
    <dataValidation type="list" allowBlank="1" showInputMessage="1" showErrorMessage="1" sqref="B2" xr:uid="{D9270E47-B020-4CBF-A3A9-E523B28C14E7}">
      <formula1>Months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2:M18"/>
  <sheetViews>
    <sheetView zoomScaleNormal="100" workbookViewId="0">
      <pane xSplit="1" topLeftCell="B1" activePane="topRight" state="frozen"/>
      <selection pane="topRight" activeCell="A3" sqref="A3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2" spans="1:13" ht="17.850000000000001" customHeight="1" x14ac:dyDescent="0.3"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ht="18" customHeight="1" x14ac:dyDescent="0.3">
      <c r="A3" s="30" t="str" cm="1">
        <f t="array" ref="A3:A14">Net_Salary</f>
        <v>Salary</v>
      </c>
      <c r="B3" s="78">
        <f>SUMIFS(Tabela1[Amount],Tabela1[Month],B$2,Tabela1[Category],$A3)</f>
        <v>0</v>
      </c>
      <c r="C3" s="78">
        <f>SUMIFS(Tabela1[Amount],Tabela1[Month],C$2,Tabela1[Category],$A3)</f>
        <v>0</v>
      </c>
      <c r="D3" s="78">
        <f>SUMIFS(Tabela1[Amount],Tabela1[Month],D$2,Tabela1[Category],$A3)</f>
        <v>0</v>
      </c>
      <c r="E3" s="78">
        <f>SUMIFS(Tabela1[Amount],Tabela1[Month],E$2,Tabela1[Category],$A3)</f>
        <v>0</v>
      </c>
      <c r="F3" s="78">
        <f>SUMIFS(Tabela1[Amount],Tabela1[Month],F$2,Tabela1[Category],$A3)</f>
        <v>0</v>
      </c>
      <c r="G3" s="78">
        <f>SUMIFS(Tabela1[Amount],Tabela1[Month],G$2,Tabela1[Category],$A3)</f>
        <v>0</v>
      </c>
      <c r="H3" s="78">
        <f>SUMIFS(Tabela1[Amount],Tabela1[Month],H$2,Tabela1[Category],$A3)</f>
        <v>0</v>
      </c>
      <c r="I3" s="78">
        <f>SUMIFS(Tabela1[Amount],Tabela1[Month],I$2,Tabela1[Category],$A3)</f>
        <v>0</v>
      </c>
      <c r="J3" s="78">
        <f>SUMIFS(Tabela1[Amount],Tabela1[Month],J$2,Tabela1[Category],$A3)</f>
        <v>0</v>
      </c>
      <c r="K3" s="78">
        <f>SUMIFS(Tabela1[Amount],Tabela1[Month],K$2,Tabela1[Category],$A3)</f>
        <v>0</v>
      </c>
      <c r="L3" s="78">
        <f>SUMIFS(Tabela1[Amount],Tabela1[Month],L$2,Tabela1[Category],$A3)</f>
        <v>0</v>
      </c>
      <c r="M3" s="78">
        <f>SUMIFS(Tabela1[Amount],Tabela1[Month],M$2,Tabela1[Category],$A3)</f>
        <v>0</v>
      </c>
    </row>
    <row r="4" spans="1:13" ht="18" customHeight="1" x14ac:dyDescent="0.3">
      <c r="A4" s="30" t="str">
        <v>Seals</v>
      </c>
      <c r="B4" s="78">
        <f>SUMIFS(Tabela1[Amount],Tabela1[Month],B$2,Tabela1[Category],$A4)</f>
        <v>0</v>
      </c>
      <c r="C4" s="78">
        <f>SUMIFS(Tabela1[Amount],Tabela1[Month],C$2,Tabela1[Category],$A4)</f>
        <v>0</v>
      </c>
      <c r="D4" s="78">
        <f>SUMIFS(Tabela1[Amount],Tabela1[Month],D$2,Tabela1[Category],$A4)</f>
        <v>0</v>
      </c>
      <c r="E4" s="78">
        <f>SUMIFS(Tabela1[Amount],Tabela1[Month],E$2,Tabela1[Category],$A4)</f>
        <v>0</v>
      </c>
      <c r="F4" s="78">
        <f>SUMIFS(Tabela1[Amount],Tabela1[Month],F$2,Tabela1[Category],$A4)</f>
        <v>0</v>
      </c>
      <c r="G4" s="78">
        <f>SUMIFS(Tabela1[Amount],Tabela1[Month],G$2,Tabela1[Category],$A4)</f>
        <v>0</v>
      </c>
      <c r="H4" s="78">
        <f>SUMIFS(Tabela1[Amount],Tabela1[Month],H$2,Tabela1[Category],$A4)</f>
        <v>0</v>
      </c>
      <c r="I4" s="78">
        <f>SUMIFS(Tabela1[Amount],Tabela1[Month],I$2,Tabela1[Category],$A4)</f>
        <v>0</v>
      </c>
      <c r="J4" s="78">
        <f>SUMIFS(Tabela1[Amount],Tabela1[Month],J$2,Tabela1[Category],$A4)</f>
        <v>0</v>
      </c>
      <c r="K4" s="78">
        <f>SUMIFS(Tabela1[Amount],Tabela1[Month],K$2,Tabela1[Category],$A4)</f>
        <v>0</v>
      </c>
      <c r="L4" s="78">
        <f>SUMIFS(Tabela1[Amount],Tabela1[Month],L$2,Tabela1[Category],$A4)</f>
        <v>0</v>
      </c>
      <c r="M4" s="78">
        <f>SUMIFS(Tabela1[Amount],Tabela1[Month],M$2,Tabela1[Category],$A4)</f>
        <v>0</v>
      </c>
    </row>
    <row r="5" spans="1:13" ht="18" customHeight="1" x14ac:dyDescent="0.3">
      <c r="A5" s="30" t="str">
        <v>Rent</v>
      </c>
      <c r="B5" s="78">
        <f>SUMIFS(Tabela1[Amount],Tabela1[Month],B$2,Tabela1[Category],$A5)</f>
        <v>0</v>
      </c>
      <c r="C5" s="78">
        <f>SUMIFS(Tabela1[Amount],Tabela1[Month],C$2,Tabela1[Category],$A5)</f>
        <v>0</v>
      </c>
      <c r="D5" s="78">
        <f>SUMIFS(Tabela1[Amount],Tabela1[Month],D$2,Tabela1[Category],$A5)</f>
        <v>0</v>
      </c>
      <c r="E5" s="78">
        <f>SUMIFS(Tabela1[Amount],Tabela1[Month],E$2,Tabela1[Category],$A5)</f>
        <v>0</v>
      </c>
      <c r="F5" s="78">
        <f>SUMIFS(Tabela1[Amount],Tabela1[Month],F$2,Tabela1[Category],$A5)</f>
        <v>0</v>
      </c>
      <c r="G5" s="78">
        <f>SUMIFS(Tabela1[Amount],Tabela1[Month],G$2,Tabela1[Category],$A5)</f>
        <v>0</v>
      </c>
      <c r="H5" s="78">
        <f>SUMIFS(Tabela1[Amount],Tabela1[Month],H$2,Tabela1[Category],$A5)</f>
        <v>0</v>
      </c>
      <c r="I5" s="78">
        <f>SUMIFS(Tabela1[Amount],Tabela1[Month],I$2,Tabela1[Category],$A5)</f>
        <v>0</v>
      </c>
      <c r="J5" s="78">
        <f>SUMIFS(Tabela1[Amount],Tabela1[Month],J$2,Tabela1[Category],$A5)</f>
        <v>0</v>
      </c>
      <c r="K5" s="78">
        <f>SUMIFS(Tabela1[Amount],Tabela1[Month],K$2,Tabela1[Category],$A5)</f>
        <v>0</v>
      </c>
      <c r="L5" s="78">
        <f>SUMIFS(Tabela1[Amount],Tabela1[Month],L$2,Tabela1[Category],$A5)</f>
        <v>0</v>
      </c>
      <c r="M5" s="78">
        <f>SUMIFS(Tabela1[Amount],Tabela1[Month],M$2,Tabela1[Category],$A5)</f>
        <v>0</v>
      </c>
    </row>
    <row r="6" spans="1:13" ht="18" customHeight="1" x14ac:dyDescent="0.3">
      <c r="A6" s="30" t="str">
        <v>Seals II</v>
      </c>
      <c r="B6" s="78">
        <f>SUMIFS(Tabela1[Amount],Tabela1[Month],B$2,Tabela1[Category],$A6)</f>
        <v>0</v>
      </c>
      <c r="C6" s="78">
        <f>SUMIFS(Tabela1[Amount],Tabela1[Month],C$2,Tabela1[Category],$A6)</f>
        <v>0</v>
      </c>
      <c r="D6" s="78">
        <f>SUMIFS(Tabela1[Amount],Tabela1[Month],D$2,Tabela1[Category],$A6)</f>
        <v>0</v>
      </c>
      <c r="E6" s="78">
        <f>SUMIFS(Tabela1[Amount],Tabela1[Month],E$2,Tabela1[Category],$A6)</f>
        <v>0</v>
      </c>
      <c r="F6" s="78">
        <f>SUMIFS(Tabela1[Amount],Tabela1[Month],F$2,Tabela1[Category],$A6)</f>
        <v>0</v>
      </c>
      <c r="G6" s="78">
        <f>SUMIFS(Tabela1[Amount],Tabela1[Month],G$2,Tabela1[Category],$A6)</f>
        <v>0</v>
      </c>
      <c r="H6" s="78">
        <f>SUMIFS(Tabela1[Amount],Tabela1[Month],H$2,Tabela1[Category],$A6)</f>
        <v>0</v>
      </c>
      <c r="I6" s="78">
        <f>SUMIFS(Tabela1[Amount],Tabela1[Month],I$2,Tabela1[Category],$A6)</f>
        <v>0</v>
      </c>
      <c r="J6" s="78">
        <f>SUMIFS(Tabela1[Amount],Tabela1[Month],J$2,Tabela1[Category],$A6)</f>
        <v>0</v>
      </c>
      <c r="K6" s="78">
        <f>SUMIFS(Tabela1[Amount],Tabela1[Month],K$2,Tabela1[Category],$A6)</f>
        <v>0</v>
      </c>
      <c r="L6" s="78">
        <f>SUMIFS(Tabela1[Amount],Tabela1[Month],L$2,Tabela1[Category],$A6)</f>
        <v>0</v>
      </c>
      <c r="M6" s="78">
        <f>SUMIFS(Tabela1[Amount],Tabela1[Month],M$2,Tabela1[Category],$A6)</f>
        <v>0</v>
      </c>
    </row>
    <row r="7" spans="1:13" ht="18" customHeight="1" x14ac:dyDescent="0.3">
      <c r="A7" s="30" t="str">
        <v>Other - Income</v>
      </c>
      <c r="B7" s="78">
        <f>SUMIFS(Tabela1[Amount],Tabela1[Month],B$2,Tabela1[Category],$A7)</f>
        <v>0</v>
      </c>
      <c r="C7" s="78">
        <f>SUMIFS(Tabela1[Amount],Tabela1[Month],C$2,Tabela1[Category],$A7)</f>
        <v>0</v>
      </c>
      <c r="D7" s="78">
        <f>SUMIFS(Tabela1[Amount],Tabela1[Month],D$2,Tabela1[Category],$A7)</f>
        <v>0</v>
      </c>
      <c r="E7" s="78">
        <f>SUMIFS(Tabela1[Amount],Tabela1[Month],E$2,Tabela1[Category],$A7)</f>
        <v>0</v>
      </c>
      <c r="F7" s="78">
        <f>SUMIFS(Tabela1[Amount],Tabela1[Month],F$2,Tabela1[Category],$A7)</f>
        <v>0</v>
      </c>
      <c r="G7" s="78">
        <f>SUMIFS(Tabela1[Amount],Tabela1[Month],G$2,Tabela1[Category],$A7)</f>
        <v>0</v>
      </c>
      <c r="H7" s="78">
        <f>SUMIFS(Tabela1[Amount],Tabela1[Month],H$2,Tabela1[Category],$A7)</f>
        <v>0</v>
      </c>
      <c r="I7" s="78">
        <f>SUMIFS(Tabela1[Amount],Tabela1[Month],I$2,Tabela1[Category],$A7)</f>
        <v>0</v>
      </c>
      <c r="J7" s="78">
        <f>SUMIFS(Tabela1[Amount],Tabela1[Month],J$2,Tabela1[Category],$A7)</f>
        <v>0</v>
      </c>
      <c r="K7" s="78">
        <f>SUMIFS(Tabela1[Amount],Tabela1[Month],K$2,Tabela1[Category],$A7)</f>
        <v>0</v>
      </c>
      <c r="L7" s="78">
        <f>SUMIFS(Tabela1[Amount],Tabela1[Month],L$2,Tabela1[Category],$A7)</f>
        <v>0</v>
      </c>
      <c r="M7" s="78">
        <f>SUMIFS(Tabela1[Amount],Tabela1[Month],M$2,Tabela1[Category],$A7)</f>
        <v>0</v>
      </c>
    </row>
    <row r="8" spans="1:13" ht="17.850000000000001" customHeight="1" x14ac:dyDescent="0.3">
      <c r="A8" s="30" t="str">
        <v>Tax I</v>
      </c>
      <c r="B8" s="78">
        <f>SUMIFS(Tabela1[Amount],Tabela1[Month],B$2,Tabela1[Category],$A8)</f>
        <v>0</v>
      </c>
      <c r="C8" s="78">
        <f>SUMIFS(Tabela1[Amount],Tabela1[Month],C$2,Tabela1[Category],$A8)</f>
        <v>0</v>
      </c>
      <c r="D8" s="78">
        <f>SUMIFS(Tabela1[Amount],Tabela1[Month],D$2,Tabela1[Category],$A8)</f>
        <v>0</v>
      </c>
      <c r="E8" s="78">
        <f>SUMIFS(Tabela1[Amount],Tabela1[Month],E$2,Tabela1[Category],$A8)</f>
        <v>0</v>
      </c>
      <c r="F8" s="78">
        <f>SUMIFS(Tabela1[Amount],Tabela1[Month],F$2,Tabela1[Category],$A8)</f>
        <v>0</v>
      </c>
      <c r="G8" s="78">
        <f>SUMIFS(Tabela1[Amount],Tabela1[Month],G$2,Tabela1[Category],$A8)</f>
        <v>0</v>
      </c>
      <c r="H8" s="78">
        <f>SUMIFS(Tabela1[Amount],Tabela1[Month],H$2,Tabela1[Category],$A8)</f>
        <v>0</v>
      </c>
      <c r="I8" s="78">
        <f>SUMIFS(Tabela1[Amount],Tabela1[Month],I$2,Tabela1[Category],$A8)</f>
        <v>0</v>
      </c>
      <c r="J8" s="78">
        <f>SUMIFS(Tabela1[Amount],Tabela1[Month],J$2,Tabela1[Category],$A8)</f>
        <v>0</v>
      </c>
      <c r="K8" s="78">
        <f>SUMIFS(Tabela1[Amount],Tabela1[Month],K$2,Tabela1[Category],$A8)</f>
        <v>0</v>
      </c>
      <c r="L8" s="78">
        <f>SUMIFS(Tabela1[Amount],Tabela1[Month],L$2,Tabela1[Category],$A8)</f>
        <v>0</v>
      </c>
      <c r="M8" s="78">
        <f>SUMIFS(Tabela1[Amount],Tabela1[Month],M$2,Tabela1[Category],$A8)</f>
        <v>0</v>
      </c>
    </row>
    <row r="9" spans="1:13" ht="18" customHeight="1" x14ac:dyDescent="0.3">
      <c r="A9" s="30" t="str">
        <v>Tax II</v>
      </c>
      <c r="B9" s="78">
        <f>SUMIFS(Tabela1[Amount],Tabela1[Month],B$2,Tabela1[Category],$A9)</f>
        <v>0</v>
      </c>
      <c r="C9" s="78">
        <f>SUMIFS(Tabela1[Amount],Tabela1[Month],C$2,Tabela1[Category],$A9)</f>
        <v>0</v>
      </c>
      <c r="D9" s="78">
        <f>SUMIFS(Tabela1[Amount],Tabela1[Month],D$2,Tabela1[Category],$A9)</f>
        <v>0</v>
      </c>
      <c r="E9" s="78">
        <f>SUMIFS(Tabela1[Amount],Tabela1[Month],E$2,Tabela1[Category],$A9)</f>
        <v>0</v>
      </c>
      <c r="F9" s="78">
        <f>SUMIFS(Tabela1[Amount],Tabela1[Month],F$2,Tabela1[Category],$A9)</f>
        <v>0</v>
      </c>
      <c r="G9" s="78">
        <f>SUMIFS(Tabela1[Amount],Tabela1[Month],G$2,Tabela1[Category],$A9)</f>
        <v>0</v>
      </c>
      <c r="H9" s="78">
        <f>SUMIFS(Tabela1[Amount],Tabela1[Month],H$2,Tabela1[Category],$A9)</f>
        <v>0</v>
      </c>
      <c r="I9" s="78">
        <f>SUMIFS(Tabela1[Amount],Tabela1[Month],I$2,Tabela1[Category],$A9)</f>
        <v>0</v>
      </c>
      <c r="J9" s="78">
        <f>SUMIFS(Tabela1[Amount],Tabela1[Month],J$2,Tabela1[Category],$A9)</f>
        <v>0</v>
      </c>
      <c r="K9" s="78">
        <f>SUMIFS(Tabela1[Amount],Tabela1[Month],K$2,Tabela1[Category],$A9)</f>
        <v>0</v>
      </c>
      <c r="L9" s="78">
        <f>SUMIFS(Tabela1[Amount],Tabela1[Month],L$2,Tabela1[Category],$A9)</f>
        <v>0</v>
      </c>
      <c r="M9" s="78">
        <f>SUMIFS(Tabela1[Amount],Tabela1[Month],M$2,Tabela1[Category],$A9)</f>
        <v>0</v>
      </c>
    </row>
    <row r="10" spans="1:13" ht="17.850000000000001" customHeight="1" x14ac:dyDescent="0.3">
      <c r="A10" s="30" t="str">
        <v>Bank Fee I</v>
      </c>
      <c r="B10" s="78">
        <f>SUMIFS(Tabela1[Amount],Tabela1[Month],B$2,Tabela1[Category],$A10)</f>
        <v>0</v>
      </c>
      <c r="C10" s="78">
        <f>SUMIFS(Tabela1[Amount],Tabela1[Month],C$2,Tabela1[Category],$A10)</f>
        <v>0</v>
      </c>
      <c r="D10" s="78">
        <f>SUMIFS(Tabela1[Amount],Tabela1[Month],D$2,Tabela1[Category],$A10)</f>
        <v>0</v>
      </c>
      <c r="E10" s="78">
        <f>SUMIFS(Tabela1[Amount],Tabela1[Month],E$2,Tabela1[Category],$A10)</f>
        <v>0</v>
      </c>
      <c r="F10" s="78">
        <f>SUMIFS(Tabela1[Amount],Tabela1[Month],F$2,Tabela1[Category],$A10)</f>
        <v>0</v>
      </c>
      <c r="G10" s="78">
        <f>SUMIFS(Tabela1[Amount],Tabela1[Month],G$2,Tabela1[Category],$A10)</f>
        <v>0</v>
      </c>
      <c r="H10" s="78">
        <f>SUMIFS(Tabela1[Amount],Tabela1[Month],H$2,Tabela1[Category],$A10)</f>
        <v>0</v>
      </c>
      <c r="I10" s="78">
        <f>SUMIFS(Tabela1[Amount],Tabela1[Month],I$2,Tabela1[Category],$A10)</f>
        <v>0</v>
      </c>
      <c r="J10" s="78">
        <f>SUMIFS(Tabela1[Amount],Tabela1[Month],J$2,Tabela1[Category],$A10)</f>
        <v>0</v>
      </c>
      <c r="K10" s="78">
        <f>SUMIFS(Tabela1[Amount],Tabela1[Month],K$2,Tabela1[Category],$A10)</f>
        <v>0</v>
      </c>
      <c r="L10" s="78">
        <f>SUMIFS(Tabela1[Amount],Tabela1[Month],L$2,Tabela1[Category],$A10)</f>
        <v>0</v>
      </c>
      <c r="M10" s="78">
        <f>SUMIFS(Tabela1[Amount],Tabela1[Month],M$2,Tabela1[Category],$A10)</f>
        <v>0</v>
      </c>
    </row>
    <row r="11" spans="1:13" ht="17.850000000000001" customHeight="1" x14ac:dyDescent="0.3">
      <c r="A11" s="30" t="str">
        <v>Bank Fee II</v>
      </c>
      <c r="B11" s="78">
        <f>SUMIFS(Tabela1[Amount],Tabela1[Month],B$2,Tabela1[Category],$A11)</f>
        <v>0</v>
      </c>
      <c r="C11" s="78">
        <f>SUMIFS(Tabela1[Amount],Tabela1[Month],C$2,Tabela1[Category],$A11)</f>
        <v>0</v>
      </c>
      <c r="D11" s="78">
        <f>SUMIFS(Tabela1[Amount],Tabela1[Month],D$2,Tabela1[Category],$A11)</f>
        <v>0</v>
      </c>
      <c r="E11" s="78">
        <f>SUMIFS(Tabela1[Amount],Tabela1[Month],E$2,Tabela1[Category],$A11)</f>
        <v>0</v>
      </c>
      <c r="F11" s="78">
        <f>SUMIFS(Tabela1[Amount],Tabela1[Month],F$2,Tabela1[Category],$A11)</f>
        <v>0</v>
      </c>
      <c r="G11" s="78">
        <f>SUMIFS(Tabela1[Amount],Tabela1[Month],G$2,Tabela1[Category],$A11)</f>
        <v>0</v>
      </c>
      <c r="H11" s="78">
        <f>SUMIFS(Tabela1[Amount],Tabela1[Month],H$2,Tabela1[Category],$A11)</f>
        <v>0</v>
      </c>
      <c r="I11" s="78">
        <f>SUMIFS(Tabela1[Amount],Tabela1[Month],I$2,Tabela1[Category],$A11)</f>
        <v>0</v>
      </c>
      <c r="J11" s="78">
        <f>SUMIFS(Tabela1[Amount],Tabela1[Month],J$2,Tabela1[Category],$A11)</f>
        <v>0</v>
      </c>
      <c r="K11" s="78">
        <f>SUMIFS(Tabela1[Amount],Tabela1[Month],K$2,Tabela1[Category],$A11)</f>
        <v>0</v>
      </c>
      <c r="L11" s="78">
        <f>SUMIFS(Tabela1[Amount],Tabela1[Month],L$2,Tabela1[Category],$A11)</f>
        <v>0</v>
      </c>
      <c r="M11" s="78">
        <f>SUMIFS(Tabela1[Amount],Tabela1[Month],M$2,Tabela1[Category],$A11)</f>
        <v>0</v>
      </c>
    </row>
    <row r="12" spans="1:13" ht="18" customHeight="1" x14ac:dyDescent="0.3">
      <c r="A12" s="30" t="str">
        <v>Other - Discount</v>
      </c>
      <c r="B12" s="78">
        <f>SUMIFS(Tabela1[Amount],Tabela1[Month],B$2,Tabela1[Category],$A12)</f>
        <v>0</v>
      </c>
      <c r="C12" s="78">
        <f>SUMIFS(Tabela1[Amount],Tabela1[Month],C$2,Tabela1[Category],$A12)</f>
        <v>0</v>
      </c>
      <c r="D12" s="78">
        <f>SUMIFS(Tabela1[Amount],Tabela1[Month],D$2,Tabela1[Category],$A12)</f>
        <v>0</v>
      </c>
      <c r="E12" s="78">
        <f>SUMIFS(Tabela1[Amount],Tabela1[Month],E$2,Tabela1[Category],$A12)</f>
        <v>0</v>
      </c>
      <c r="F12" s="78">
        <f>SUMIFS(Tabela1[Amount],Tabela1[Month],F$2,Tabela1[Category],$A12)</f>
        <v>0</v>
      </c>
      <c r="G12" s="78">
        <f>SUMIFS(Tabela1[Amount],Tabela1[Month],G$2,Tabela1[Category],$A12)</f>
        <v>0</v>
      </c>
      <c r="H12" s="78">
        <f>SUMIFS(Tabela1[Amount],Tabela1[Month],H$2,Tabela1[Category],$A12)</f>
        <v>0</v>
      </c>
      <c r="I12" s="78">
        <f>SUMIFS(Tabela1[Amount],Tabela1[Month],I$2,Tabela1[Category],$A12)</f>
        <v>0</v>
      </c>
      <c r="J12" s="78">
        <f>SUMIFS(Tabela1[Amount],Tabela1[Month],J$2,Tabela1[Category],$A12)</f>
        <v>0</v>
      </c>
      <c r="K12" s="78">
        <f>SUMIFS(Tabela1[Amount],Tabela1[Month],K$2,Tabela1[Category],$A12)</f>
        <v>0</v>
      </c>
      <c r="L12" s="78">
        <f>SUMIFS(Tabela1[Amount],Tabela1[Month],L$2,Tabela1[Category],$A12)</f>
        <v>0</v>
      </c>
      <c r="M12" s="78">
        <f>SUMIFS(Tabela1[Amount],Tabela1[Month],M$2,Tabela1[Category],$A12)</f>
        <v>0</v>
      </c>
    </row>
    <row r="13" spans="1:13" ht="18" customHeight="1" x14ac:dyDescent="0.3">
      <c r="A13" s="30" t="str">
        <v>Stock Market</v>
      </c>
      <c r="B13" s="78">
        <f>SUMIFS(Tabela1[Amount],Tabela1[Month],B$2,Tabela1[Category],$A13)</f>
        <v>0</v>
      </c>
      <c r="C13" s="78">
        <f>SUMIFS(Tabela1[Amount],Tabela1[Month],C$2,Tabela1[Category],$A13)</f>
        <v>0</v>
      </c>
      <c r="D13" s="78">
        <f>SUMIFS(Tabela1[Amount],Tabela1[Month],D$2,Tabela1[Category],$A13)</f>
        <v>0</v>
      </c>
      <c r="E13" s="78">
        <f>SUMIFS(Tabela1[Amount],Tabela1[Month],E$2,Tabela1[Category],$A13)</f>
        <v>0</v>
      </c>
      <c r="F13" s="78">
        <f>SUMIFS(Tabela1[Amount],Tabela1[Month],F$2,Tabela1[Category],$A13)</f>
        <v>0</v>
      </c>
      <c r="G13" s="78">
        <f>SUMIFS(Tabela1[Amount],Tabela1[Month],G$2,Tabela1[Category],$A13)</f>
        <v>0</v>
      </c>
      <c r="H13" s="78">
        <f>SUMIFS(Tabela1[Amount],Tabela1[Month],H$2,Tabela1[Category],$A13)</f>
        <v>0</v>
      </c>
      <c r="I13" s="78">
        <f>SUMIFS(Tabela1[Amount],Tabela1[Month],I$2,Tabela1[Category],$A13)</f>
        <v>0</v>
      </c>
      <c r="J13" s="78">
        <f>SUMIFS(Tabela1[Amount],Tabela1[Month],J$2,Tabela1[Category],$A13)</f>
        <v>0</v>
      </c>
      <c r="K13" s="78">
        <f>SUMIFS(Tabela1[Amount],Tabela1[Month],K$2,Tabela1[Category],$A13)</f>
        <v>0</v>
      </c>
      <c r="L13" s="78">
        <f>SUMIFS(Tabela1[Amount],Tabela1[Month],L$2,Tabela1[Category],$A13)</f>
        <v>0</v>
      </c>
      <c r="M13" s="78">
        <f>SUMIFS(Tabela1[Amount],Tabela1[Month],M$2,Tabela1[Category],$A13)</f>
        <v>0</v>
      </c>
    </row>
    <row r="14" spans="1:13" ht="18" customHeight="1" x14ac:dyDescent="0.3">
      <c r="A14" s="30" t="str">
        <v>Real Estate</v>
      </c>
      <c r="B14" s="78">
        <f>SUMIFS(Tabela1[Amount],Tabela1[Month],B$2,Tabela1[Category],$A14)</f>
        <v>0</v>
      </c>
      <c r="C14" s="78">
        <f>SUMIFS(Tabela1[Amount],Tabela1[Month],C$2,Tabela1[Category],$A14)</f>
        <v>0</v>
      </c>
      <c r="D14" s="78">
        <f>SUMIFS(Tabela1[Amount],Tabela1[Month],D$2,Tabela1[Category],$A14)</f>
        <v>0</v>
      </c>
      <c r="E14" s="78">
        <f>SUMIFS(Tabela1[Amount],Tabela1[Month],E$2,Tabela1[Category],$A14)</f>
        <v>0</v>
      </c>
      <c r="F14" s="78">
        <f>SUMIFS(Tabela1[Amount],Tabela1[Month],F$2,Tabela1[Category],$A14)</f>
        <v>0</v>
      </c>
      <c r="G14" s="78">
        <f>SUMIFS(Tabela1[Amount],Tabela1[Month],G$2,Tabela1[Category],$A14)</f>
        <v>0</v>
      </c>
      <c r="H14" s="78">
        <f>SUMIFS(Tabela1[Amount],Tabela1[Month],H$2,Tabela1[Category],$A14)</f>
        <v>0</v>
      </c>
      <c r="I14" s="78">
        <f>SUMIFS(Tabela1[Amount],Tabela1[Month],I$2,Tabela1[Category],$A14)</f>
        <v>0</v>
      </c>
      <c r="J14" s="78">
        <f>SUMIFS(Tabela1[Amount],Tabela1[Month],J$2,Tabela1[Category],$A14)</f>
        <v>0</v>
      </c>
      <c r="K14" s="78">
        <f>SUMIFS(Tabela1[Amount],Tabela1[Month],K$2,Tabela1[Category],$A14)</f>
        <v>0</v>
      </c>
      <c r="L14" s="78">
        <f>SUMIFS(Tabela1[Amount],Tabela1[Month],L$2,Tabela1[Category],$A14)</f>
        <v>0</v>
      </c>
      <c r="M14" s="78">
        <f>SUMIFS(Tabela1[Amount],Tabela1[Month],M$2,Tabela1[Category],$A14)</f>
        <v>0</v>
      </c>
    </row>
    <row r="16" spans="1:13" ht="17.850000000000001" customHeight="1" x14ac:dyDescent="0.3">
      <c r="A16" s="28" t="s">
        <v>0</v>
      </c>
      <c r="B16" s="36">
        <f>ROUND(SUM(B3:B7)-SUM(B8:B14),2)</f>
        <v>0</v>
      </c>
      <c r="C16" s="36">
        <f t="shared" ref="C16:M16" si="0">ROUND(SUM(C3:C7)-SUM(C8:C14),2)</f>
        <v>0</v>
      </c>
      <c r="D16" s="36">
        <f t="shared" si="0"/>
        <v>0</v>
      </c>
      <c r="E16" s="36">
        <f t="shared" si="0"/>
        <v>0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</row>
    <row r="18" spans="1:13" ht="18.55" hidden="1" customHeight="1" x14ac:dyDescent="0.3">
      <c r="A18" s="30" t="str">
        <f>A10</f>
        <v>Bank Fee I</v>
      </c>
      <c r="B18" s="1">
        <f>ROUND(IF((SUM(B3:B7) - SUM(B8:B9,B11:B12)) &gt; 10, (SUM(B3:B7) - SUM(B8:B9,B11:B12))*0.1, )-B10,2)</f>
        <v>0</v>
      </c>
      <c r="C18" s="1">
        <f t="shared" ref="C18:L18" si="1">ROUND(IF((SUM(C3:C7) - SUM(C8:C9,C11:C12)) &gt; 10, (SUM(C3:C7) - SUM(C8:C9,C11:C12))*0.1, )-C10,2)</f>
        <v>0</v>
      </c>
      <c r="D18" s="1">
        <f t="shared" si="1"/>
        <v>0</v>
      </c>
      <c r="E18" s="1">
        <f t="shared" si="1"/>
        <v>0</v>
      </c>
      <c r="F18" s="1">
        <f t="shared" si="1"/>
        <v>0</v>
      </c>
      <c r="G18" s="1">
        <f t="shared" si="1"/>
        <v>0</v>
      </c>
      <c r="H18" s="1">
        <f t="shared" si="1"/>
        <v>0</v>
      </c>
      <c r="I18" s="1">
        <f t="shared" si="1"/>
        <v>0</v>
      </c>
      <c r="J18" s="1">
        <f t="shared" si="1"/>
        <v>0</v>
      </c>
      <c r="K18" s="1">
        <f t="shared" si="1"/>
        <v>0</v>
      </c>
      <c r="L18" s="1">
        <f t="shared" si="1"/>
        <v>0</v>
      </c>
      <c r="M18" s="1">
        <f>ROUND(IF((SUM(M3:M7) - SUM(M8:M9,M11:M12)) &gt; 10, (SUM(M3:M7) - SUM(M8:M9,M11:M12))*0.1, )-M10,2)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Normal="100" workbookViewId="0">
      <pane xSplit="1" topLeftCell="B1" activePane="topRight" state="frozen"/>
      <selection activeCell="A4" sqref="A4"/>
      <selection pane="topRight" activeCell="A3" sqref="A3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77" t="s">
        <v>34</v>
      </c>
      <c r="B3" s="78">
        <f>'Net Salary'!B16</f>
        <v>0</v>
      </c>
      <c r="C3" s="78">
        <f>'Net Salary'!C16</f>
        <v>0</v>
      </c>
      <c r="D3" s="78">
        <f>'Net Salary'!D16</f>
        <v>0</v>
      </c>
      <c r="E3" s="78">
        <f>'Net Salary'!E16</f>
        <v>0</v>
      </c>
      <c r="F3" s="78">
        <f>'Net Salary'!F16</f>
        <v>0</v>
      </c>
      <c r="G3" s="78">
        <f>'Net Salary'!G16</f>
        <v>0</v>
      </c>
      <c r="H3" s="78">
        <f>'Net Salary'!H16</f>
        <v>0</v>
      </c>
      <c r="I3" s="78">
        <f>'Net Salary'!I16</f>
        <v>0</v>
      </c>
      <c r="J3" s="78">
        <f>'Net Salary'!J16</f>
        <v>0</v>
      </c>
      <c r="K3" s="78">
        <f>'Net Salary'!K16</f>
        <v>0</v>
      </c>
      <c r="L3" s="78">
        <f>'Net Salary'!L16</f>
        <v>0</v>
      </c>
      <c r="M3" s="78">
        <f>'Net Salary'!M16</f>
        <v>0</v>
      </c>
    </row>
    <row r="4" spans="1:13" ht="15" customHeight="1" x14ac:dyDescent="0.3">
      <c r="A4" s="77" t="s">
        <v>22</v>
      </c>
      <c r="B4" s="79">
        <f>B3-(SUM(B7:B18))</f>
        <v>0</v>
      </c>
      <c r="C4" s="79">
        <f t="shared" ref="C4:L4" si="0">C3-(SUM(C7:C18))+B4</f>
        <v>0</v>
      </c>
      <c r="D4" s="79">
        <f t="shared" si="0"/>
        <v>0</v>
      </c>
      <c r="E4" s="79">
        <f t="shared" si="0"/>
        <v>0</v>
      </c>
      <c r="F4" s="79">
        <f t="shared" si="0"/>
        <v>0</v>
      </c>
      <c r="G4" s="79">
        <f t="shared" si="0"/>
        <v>0</v>
      </c>
      <c r="H4" s="79">
        <f t="shared" si="0"/>
        <v>0</v>
      </c>
      <c r="I4" s="79">
        <f t="shared" si="0"/>
        <v>0</v>
      </c>
      <c r="J4" s="79">
        <f t="shared" si="0"/>
        <v>0</v>
      </c>
      <c r="K4" s="79">
        <f t="shared" si="0"/>
        <v>0</v>
      </c>
      <c r="L4" s="79">
        <f t="shared" si="0"/>
        <v>0</v>
      </c>
      <c r="M4" s="79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33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8">
        <f>SUMIFS(Tabela1[Amount],Tabela1[Month],Expenses!B$2,Tabela1[Category],Expenses!$A7)</f>
        <v>0</v>
      </c>
      <c r="C7" s="78">
        <f>SUMIFS(Tabela1[Amount],Tabela1[Month],Expenses!C$2,Tabela1[Category],Expenses!$A7)</f>
        <v>0</v>
      </c>
      <c r="D7" s="78">
        <f>SUMIFS(Tabela1[Amount],Tabela1[Month],Expenses!D$2,Tabela1[Category],Expenses!$A7)</f>
        <v>0</v>
      </c>
      <c r="E7" s="78">
        <f>SUMIFS(Tabela1[Amount],Tabela1[Month],Expenses!E$2,Tabela1[Category],Expenses!$A7)</f>
        <v>0</v>
      </c>
      <c r="F7" s="78">
        <f>SUMIFS(Tabela1[Amount],Tabela1[Month],Expenses!F$2,Tabela1[Category],Expenses!$A7)</f>
        <v>0</v>
      </c>
      <c r="G7" s="78">
        <f>SUMIFS(Tabela1[Amount],Tabela1[Month],Expenses!G$2,Tabela1[Category],Expenses!$A7)</f>
        <v>0</v>
      </c>
      <c r="H7" s="78">
        <f>SUMIFS(Tabela1[Amount],Tabela1[Month],Expenses!H$2,Tabela1[Category],Expenses!$A7)</f>
        <v>0</v>
      </c>
      <c r="I7" s="78">
        <f>SUMIFS(Tabela1[Amount],Tabela1[Month],Expenses!I$2,Tabela1[Category],Expenses!$A7)</f>
        <v>0</v>
      </c>
      <c r="J7" s="78">
        <f>SUMIFS(Tabela1[Amount],Tabela1[Month],Expenses!J$2,Tabela1[Category],Expenses!$A7)</f>
        <v>0</v>
      </c>
      <c r="K7" s="78">
        <f>SUMIFS(Tabela1[Amount],Tabela1[Month],Expenses!K$2,Tabela1[Category],Expenses!$A7)</f>
        <v>0</v>
      </c>
      <c r="L7" s="78">
        <f>SUMIFS(Tabela1[Amount],Tabela1[Month],Expenses!L$2,Tabela1[Category],Expenses!$A7)</f>
        <v>0</v>
      </c>
      <c r="M7" s="78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8">
        <f>SUMIFS(Tabela1[Amount],Tabela1[Month],Expenses!B$2,Tabela1[Category],Expenses!$A8)</f>
        <v>0</v>
      </c>
      <c r="C8" s="78">
        <f>SUMIFS(Tabela1[Amount],Tabela1[Month],Expenses!C$2,Tabela1[Category],Expenses!$A8)</f>
        <v>0</v>
      </c>
      <c r="D8" s="78">
        <f>SUMIFS(Tabela1[Amount],Tabela1[Month],Expenses!D$2,Tabela1[Category],Expenses!$A8)</f>
        <v>0</v>
      </c>
      <c r="E8" s="78">
        <f>SUMIFS(Tabela1[Amount],Tabela1[Month],Expenses!E$2,Tabela1[Category],Expenses!$A8)</f>
        <v>0</v>
      </c>
      <c r="F8" s="78">
        <f>SUMIFS(Tabela1[Amount],Tabela1[Month],Expenses!F$2,Tabela1[Category],Expenses!$A8)</f>
        <v>0</v>
      </c>
      <c r="G8" s="78">
        <f>SUMIFS(Tabela1[Amount],Tabela1[Month],Expenses!G$2,Tabela1[Category],Expenses!$A8)</f>
        <v>0</v>
      </c>
      <c r="H8" s="78">
        <f>SUMIFS(Tabela1[Amount],Tabela1[Month],Expenses!H$2,Tabela1[Category],Expenses!$A8)</f>
        <v>0</v>
      </c>
      <c r="I8" s="78">
        <f>SUMIFS(Tabela1[Amount],Tabela1[Month],Expenses!I$2,Tabela1[Category],Expenses!$A8)</f>
        <v>0</v>
      </c>
      <c r="J8" s="78">
        <f>SUMIFS(Tabela1[Amount],Tabela1[Month],Expenses!J$2,Tabela1[Category],Expenses!$A8)</f>
        <v>0</v>
      </c>
      <c r="K8" s="78">
        <f>SUMIFS(Tabela1[Amount],Tabela1[Month],Expenses!K$2,Tabela1[Category],Expenses!$A8)</f>
        <v>0</v>
      </c>
      <c r="L8" s="78">
        <f>SUMIFS(Tabela1[Amount],Tabela1[Month],Expenses!L$2,Tabela1[Category],Expenses!$A8)</f>
        <v>0</v>
      </c>
      <c r="M8" s="78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8">
        <f>SUMIFS(Tabela1[Amount],Tabela1[Month],Expenses!B$2,Tabela1[Category],Expenses!$A9)</f>
        <v>0</v>
      </c>
      <c r="C9" s="78">
        <f>SUMIFS(Tabela1[Amount],Tabela1[Month],Expenses!C$2,Tabela1[Category],Expenses!$A9)</f>
        <v>0</v>
      </c>
      <c r="D9" s="78">
        <f>SUMIFS(Tabela1[Amount],Tabela1[Month],Expenses!D$2,Tabela1[Category],Expenses!$A9)</f>
        <v>0</v>
      </c>
      <c r="E9" s="78">
        <f>SUMIFS(Tabela1[Amount],Tabela1[Month],Expenses!E$2,Tabela1[Category],Expenses!$A9)</f>
        <v>0</v>
      </c>
      <c r="F9" s="78">
        <f>SUMIFS(Tabela1[Amount],Tabela1[Month],Expenses!F$2,Tabela1[Category],Expenses!$A9)</f>
        <v>0</v>
      </c>
      <c r="G9" s="78">
        <f>SUMIFS(Tabela1[Amount],Tabela1[Month],Expenses!G$2,Tabela1[Category],Expenses!$A9)</f>
        <v>0</v>
      </c>
      <c r="H9" s="78">
        <f>SUMIFS(Tabela1[Amount],Tabela1[Month],Expenses!H$2,Tabela1[Category],Expenses!$A9)</f>
        <v>0</v>
      </c>
      <c r="I9" s="78">
        <f>SUMIFS(Tabela1[Amount],Tabela1[Month],Expenses!I$2,Tabela1[Category],Expenses!$A9)</f>
        <v>0</v>
      </c>
      <c r="J9" s="78">
        <f>SUMIFS(Tabela1[Amount],Tabela1[Month],Expenses!J$2,Tabela1[Category],Expenses!$A9)</f>
        <v>0</v>
      </c>
      <c r="K9" s="78">
        <f>SUMIFS(Tabela1[Amount],Tabela1[Month],Expenses!K$2,Tabela1[Category],Expenses!$A9)</f>
        <v>0</v>
      </c>
      <c r="L9" s="78">
        <f>SUMIFS(Tabela1[Amount],Tabela1[Month],Expenses!L$2,Tabela1[Category],Expenses!$A9)</f>
        <v>0</v>
      </c>
      <c r="M9" s="78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8">
        <f>SUMIFS(Tabela1[Amount],Tabela1[Month],Expenses!B$2,Tabela1[Category],Expenses!$A10)</f>
        <v>0</v>
      </c>
      <c r="C10" s="78">
        <f>SUMIFS(Tabela1[Amount],Tabela1[Month],Expenses!C$2,Tabela1[Category],Expenses!$A10)</f>
        <v>0</v>
      </c>
      <c r="D10" s="78">
        <f>SUMIFS(Tabela1[Amount],Tabela1[Month],Expenses!D$2,Tabela1[Category],Expenses!$A10)</f>
        <v>0</v>
      </c>
      <c r="E10" s="78">
        <f>SUMIFS(Tabela1[Amount],Tabela1[Month],Expenses!E$2,Tabela1[Category],Expenses!$A10)</f>
        <v>0</v>
      </c>
      <c r="F10" s="78">
        <f>SUMIFS(Tabela1[Amount],Tabela1[Month],Expenses!F$2,Tabela1[Category],Expenses!$A10)</f>
        <v>0</v>
      </c>
      <c r="G10" s="78">
        <f>SUMIFS(Tabela1[Amount],Tabela1[Month],Expenses!G$2,Tabela1[Category],Expenses!$A10)</f>
        <v>0</v>
      </c>
      <c r="H10" s="78">
        <f>SUMIFS(Tabela1[Amount],Tabela1[Month],Expenses!H$2,Tabela1[Category],Expenses!$A10)</f>
        <v>0</v>
      </c>
      <c r="I10" s="78">
        <f>SUMIFS(Tabela1[Amount],Tabela1[Month],Expenses!I$2,Tabela1[Category],Expenses!$A10)</f>
        <v>0</v>
      </c>
      <c r="J10" s="78">
        <f>SUMIFS(Tabela1[Amount],Tabela1[Month],Expenses!J$2,Tabela1[Category],Expenses!$A10)</f>
        <v>0</v>
      </c>
      <c r="K10" s="78">
        <f>SUMIFS(Tabela1[Amount],Tabela1[Month],Expenses!K$2,Tabela1[Category],Expenses!$A10)</f>
        <v>0</v>
      </c>
      <c r="L10" s="78">
        <f>SUMIFS(Tabela1[Amount],Tabela1[Month],Expenses!L$2,Tabela1[Category],Expenses!$A10)</f>
        <v>0</v>
      </c>
      <c r="M10" s="78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8">
        <f>SUMIFS(Tabela1[Amount],Tabela1[Month],Expenses!B$2,Tabela1[Category],Expenses!$A11)</f>
        <v>0</v>
      </c>
      <c r="C11" s="78">
        <f>SUMIFS(Tabela1[Amount],Tabela1[Month],Expenses!C$2,Tabela1[Category],Expenses!$A11)</f>
        <v>0</v>
      </c>
      <c r="D11" s="78">
        <f>SUMIFS(Tabela1[Amount],Tabela1[Month],Expenses!D$2,Tabela1[Category],Expenses!$A11)</f>
        <v>0</v>
      </c>
      <c r="E11" s="78">
        <f>SUMIFS(Tabela1[Amount],Tabela1[Month],Expenses!E$2,Tabela1[Category],Expenses!$A11)</f>
        <v>0</v>
      </c>
      <c r="F11" s="78">
        <f>SUMIFS(Tabela1[Amount],Tabela1[Month],Expenses!F$2,Tabela1[Category],Expenses!$A11)</f>
        <v>0</v>
      </c>
      <c r="G11" s="78">
        <f>SUMIFS(Tabela1[Amount],Tabela1[Month],Expenses!G$2,Tabela1[Category],Expenses!$A11)</f>
        <v>0</v>
      </c>
      <c r="H11" s="78">
        <f>SUMIFS(Tabela1[Amount],Tabela1[Month],Expenses!H$2,Tabela1[Category],Expenses!$A11)</f>
        <v>0</v>
      </c>
      <c r="I11" s="78">
        <f>SUMIFS(Tabela1[Amount],Tabela1[Month],Expenses!I$2,Tabela1[Category],Expenses!$A11)</f>
        <v>0</v>
      </c>
      <c r="J11" s="78">
        <f>SUMIFS(Tabela1[Amount],Tabela1[Month],Expenses!J$2,Tabela1[Category],Expenses!$A11)</f>
        <v>0</v>
      </c>
      <c r="K11" s="78">
        <f>SUMIFS(Tabela1[Amount],Tabela1[Month],Expenses!K$2,Tabela1[Category],Expenses!$A11)</f>
        <v>0</v>
      </c>
      <c r="L11" s="78">
        <f>SUMIFS(Tabela1[Amount],Tabela1[Month],Expenses!L$2,Tabela1[Category],Expenses!$A11)</f>
        <v>0</v>
      </c>
      <c r="M11" s="78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8">
        <f>SUMIFS(Tabela1[Amount],Tabela1[Month],Expenses!B$2,Tabela1[Category],Expenses!$A12)</f>
        <v>0</v>
      </c>
      <c r="C12" s="78">
        <f>SUMIFS(Tabela1[Amount],Tabela1[Month],Expenses!C$2,Tabela1[Category],Expenses!$A12)</f>
        <v>0</v>
      </c>
      <c r="D12" s="78">
        <f>SUMIFS(Tabela1[Amount],Tabela1[Month],Expenses!D$2,Tabela1[Category],Expenses!$A12)</f>
        <v>0</v>
      </c>
      <c r="E12" s="78">
        <f>SUMIFS(Tabela1[Amount],Tabela1[Month],Expenses!E$2,Tabela1[Category],Expenses!$A12)</f>
        <v>0</v>
      </c>
      <c r="F12" s="78">
        <f>SUMIFS(Tabela1[Amount],Tabela1[Month],Expenses!F$2,Tabela1[Category],Expenses!$A12)</f>
        <v>0</v>
      </c>
      <c r="G12" s="78">
        <f>SUMIFS(Tabela1[Amount],Tabela1[Month],Expenses!G$2,Tabela1[Category],Expenses!$A12)</f>
        <v>0</v>
      </c>
      <c r="H12" s="78">
        <f>SUMIFS(Tabela1[Amount],Tabela1[Month],Expenses!H$2,Tabela1[Category],Expenses!$A12)</f>
        <v>0</v>
      </c>
      <c r="I12" s="78">
        <f>SUMIFS(Tabela1[Amount],Tabela1[Month],Expenses!I$2,Tabela1[Category],Expenses!$A12)</f>
        <v>0</v>
      </c>
      <c r="J12" s="78">
        <f>SUMIFS(Tabela1[Amount],Tabela1[Month],Expenses!J$2,Tabela1[Category],Expenses!$A12)</f>
        <v>0</v>
      </c>
      <c r="K12" s="78">
        <f>SUMIFS(Tabela1[Amount],Tabela1[Month],Expenses!K$2,Tabela1[Category],Expenses!$A12)</f>
        <v>0</v>
      </c>
      <c r="L12" s="78">
        <f>SUMIFS(Tabela1[Amount],Tabela1[Month],Expenses!L$2,Tabela1[Category],Expenses!$A12)</f>
        <v>0</v>
      </c>
      <c r="M12" s="78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8">
        <f>SUMIFS(Tabela1[Amount],Tabela1[Month],Expenses!B$2,Tabela1[Category],Expenses!$A13)</f>
        <v>0</v>
      </c>
      <c r="C13" s="78">
        <f>SUMIFS(Tabela1[Amount],Tabela1[Month],Expenses!C$2,Tabela1[Category],Expenses!$A13)</f>
        <v>0</v>
      </c>
      <c r="D13" s="78">
        <f>SUMIFS(Tabela1[Amount],Tabela1[Month],Expenses!D$2,Tabela1[Category],Expenses!$A13)</f>
        <v>0</v>
      </c>
      <c r="E13" s="78">
        <f>SUMIFS(Tabela1[Amount],Tabela1[Month],Expenses!E$2,Tabela1[Category],Expenses!$A13)</f>
        <v>0</v>
      </c>
      <c r="F13" s="78">
        <f>SUMIFS(Tabela1[Amount],Tabela1[Month],Expenses!F$2,Tabela1[Category],Expenses!$A13)</f>
        <v>0</v>
      </c>
      <c r="G13" s="78">
        <f>SUMIFS(Tabela1[Amount],Tabela1[Month],Expenses!G$2,Tabela1[Category],Expenses!$A13)</f>
        <v>0</v>
      </c>
      <c r="H13" s="78">
        <f>SUMIFS(Tabela1[Amount],Tabela1[Month],Expenses!H$2,Tabela1[Category],Expenses!$A13)</f>
        <v>0</v>
      </c>
      <c r="I13" s="78">
        <f>SUMIFS(Tabela1[Amount],Tabela1[Month],Expenses!I$2,Tabela1[Category],Expenses!$A13)</f>
        <v>0</v>
      </c>
      <c r="J13" s="78">
        <f>SUMIFS(Tabela1[Amount],Tabela1[Month],Expenses!J$2,Tabela1[Category],Expenses!$A13)</f>
        <v>0</v>
      </c>
      <c r="K13" s="78">
        <f>SUMIFS(Tabela1[Amount],Tabela1[Month],Expenses!K$2,Tabela1[Category],Expenses!$A13)</f>
        <v>0</v>
      </c>
      <c r="L13" s="78">
        <f>SUMIFS(Tabela1[Amount],Tabela1[Month],Expenses!L$2,Tabela1[Category],Expenses!$A13)</f>
        <v>0</v>
      </c>
      <c r="M13" s="78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8">
        <f>SUMIFS(Tabela1[Amount],Tabela1[Month],Expenses!B$2,Tabela1[Category],Expenses!$A14)</f>
        <v>0</v>
      </c>
      <c r="C14" s="78">
        <f>SUMIFS(Tabela1[Amount],Tabela1[Month],Expenses!C$2,Tabela1[Category],Expenses!$A14)</f>
        <v>0</v>
      </c>
      <c r="D14" s="78">
        <f>SUMIFS(Tabela1[Amount],Tabela1[Month],Expenses!D$2,Tabela1[Category],Expenses!$A14)</f>
        <v>0</v>
      </c>
      <c r="E14" s="78">
        <f>SUMIFS(Tabela1[Amount],Tabela1[Month],Expenses!E$2,Tabela1[Category],Expenses!$A14)</f>
        <v>0</v>
      </c>
      <c r="F14" s="78">
        <f>SUMIFS(Tabela1[Amount],Tabela1[Month],Expenses!F$2,Tabela1[Category],Expenses!$A14)</f>
        <v>0</v>
      </c>
      <c r="G14" s="78">
        <f>SUMIFS(Tabela1[Amount],Tabela1[Month],Expenses!G$2,Tabela1[Category],Expenses!$A14)</f>
        <v>0</v>
      </c>
      <c r="H14" s="78">
        <f>SUMIFS(Tabela1[Amount],Tabela1[Month],Expenses!H$2,Tabela1[Category],Expenses!$A14)</f>
        <v>0</v>
      </c>
      <c r="I14" s="78">
        <f>SUMIFS(Tabela1[Amount],Tabela1[Month],Expenses!I$2,Tabela1[Category],Expenses!$A14)</f>
        <v>0</v>
      </c>
      <c r="J14" s="78">
        <f>SUMIFS(Tabela1[Amount],Tabela1[Month],Expenses!J$2,Tabela1[Category],Expenses!$A14)</f>
        <v>0</v>
      </c>
      <c r="K14" s="78">
        <f>SUMIFS(Tabela1[Amount],Tabela1[Month],Expenses!K$2,Tabela1[Category],Expenses!$A14)</f>
        <v>0</v>
      </c>
      <c r="L14" s="78">
        <f>SUMIFS(Tabela1[Amount],Tabela1[Month],Expenses!L$2,Tabela1[Category],Expenses!$A14)</f>
        <v>0</v>
      </c>
      <c r="M14" s="78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8">
        <f>SUMIFS(Tabela1[Amount],Tabela1[Month],Expenses!B$2,Tabela1[Category],Expenses!$A15)</f>
        <v>0</v>
      </c>
      <c r="C15" s="78">
        <f>SUMIFS(Tabela1[Amount],Tabela1[Month],Expenses!C$2,Tabela1[Category],Expenses!$A15)</f>
        <v>0</v>
      </c>
      <c r="D15" s="78">
        <f>SUMIFS(Tabela1[Amount],Tabela1[Month],Expenses!D$2,Tabela1[Category],Expenses!$A15)</f>
        <v>0</v>
      </c>
      <c r="E15" s="78">
        <f>SUMIFS(Tabela1[Amount],Tabela1[Month],Expenses!E$2,Tabela1[Category],Expenses!$A15)</f>
        <v>0</v>
      </c>
      <c r="F15" s="78">
        <f>SUMIFS(Tabela1[Amount],Tabela1[Month],Expenses!F$2,Tabela1[Category],Expenses!$A15)</f>
        <v>0</v>
      </c>
      <c r="G15" s="78">
        <f>SUMIFS(Tabela1[Amount],Tabela1[Month],Expenses!G$2,Tabela1[Category],Expenses!$A15)</f>
        <v>0</v>
      </c>
      <c r="H15" s="78">
        <f>SUMIFS(Tabela1[Amount],Tabela1[Month],Expenses!H$2,Tabela1[Category],Expenses!$A15)</f>
        <v>0</v>
      </c>
      <c r="I15" s="78">
        <f>SUMIFS(Tabela1[Amount],Tabela1[Month],Expenses!I$2,Tabela1[Category],Expenses!$A15)</f>
        <v>0</v>
      </c>
      <c r="J15" s="78">
        <f>SUMIFS(Tabela1[Amount],Tabela1[Month],Expenses!J$2,Tabela1[Category],Expenses!$A15)</f>
        <v>0</v>
      </c>
      <c r="K15" s="78">
        <f>SUMIFS(Tabela1[Amount],Tabela1[Month],Expenses!K$2,Tabela1[Category],Expenses!$A15)</f>
        <v>0</v>
      </c>
      <c r="L15" s="78">
        <f>SUMIFS(Tabela1[Amount],Tabela1[Month],Expenses!L$2,Tabela1[Category],Expenses!$A15)</f>
        <v>0</v>
      </c>
      <c r="M15" s="78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8">
        <f>SUMIFS(Tabela1[Amount],Tabela1[Month],Expenses!B$2,Tabela1[Category],Expenses!$A16)</f>
        <v>0</v>
      </c>
      <c r="C16" s="78">
        <f>SUMIFS(Tabela1[Amount],Tabela1[Month],Expenses!C$2,Tabela1[Category],Expenses!$A16)</f>
        <v>0</v>
      </c>
      <c r="D16" s="78">
        <f>SUMIFS(Tabela1[Amount],Tabela1[Month],Expenses!D$2,Tabela1[Category],Expenses!$A16)</f>
        <v>0</v>
      </c>
      <c r="E16" s="78">
        <f>SUMIFS(Tabela1[Amount],Tabela1[Month],Expenses!E$2,Tabela1[Category],Expenses!$A16)</f>
        <v>0</v>
      </c>
      <c r="F16" s="78">
        <f>SUMIFS(Tabela1[Amount],Tabela1[Month],Expenses!F$2,Tabela1[Category],Expenses!$A16)</f>
        <v>0</v>
      </c>
      <c r="G16" s="78">
        <f>SUMIFS(Tabela1[Amount],Tabela1[Month],Expenses!G$2,Tabela1[Category],Expenses!$A16)</f>
        <v>0</v>
      </c>
      <c r="H16" s="78">
        <f>SUMIFS(Tabela1[Amount],Tabela1[Month],Expenses!H$2,Tabela1[Category],Expenses!$A16)</f>
        <v>0</v>
      </c>
      <c r="I16" s="78">
        <f>SUMIFS(Tabela1[Amount],Tabela1[Month],Expenses!I$2,Tabela1[Category],Expenses!$A16)</f>
        <v>0</v>
      </c>
      <c r="J16" s="78">
        <f>SUMIFS(Tabela1[Amount],Tabela1[Month],Expenses!J$2,Tabela1[Category],Expenses!$A16)</f>
        <v>0</v>
      </c>
      <c r="K16" s="78">
        <f>SUMIFS(Tabela1[Amount],Tabela1[Month],Expenses!K$2,Tabela1[Category],Expenses!$A16)</f>
        <v>0</v>
      </c>
      <c r="L16" s="78">
        <f>SUMIFS(Tabela1[Amount],Tabela1[Month],Expenses!L$2,Tabela1[Category],Expenses!$A16)</f>
        <v>0</v>
      </c>
      <c r="M16" s="78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8">
        <f>SUMIFS(Tabela1[Amount],Tabela1[Month],Expenses!B$2,Tabela1[Category],Expenses!$A17)</f>
        <v>0</v>
      </c>
      <c r="C17" s="78">
        <f>SUMIFS(Tabela1[Amount],Tabela1[Month],Expenses!C$2,Tabela1[Category],Expenses!$A17)</f>
        <v>0</v>
      </c>
      <c r="D17" s="78">
        <f>SUMIFS(Tabela1[Amount],Tabela1[Month],Expenses!D$2,Tabela1[Category],Expenses!$A17)</f>
        <v>0</v>
      </c>
      <c r="E17" s="78">
        <f>SUMIFS(Tabela1[Amount],Tabela1[Month],Expenses!E$2,Tabela1[Category],Expenses!$A17)</f>
        <v>0</v>
      </c>
      <c r="F17" s="78">
        <f>SUMIFS(Tabela1[Amount],Tabela1[Month],Expenses!F$2,Tabela1[Category],Expenses!$A17)</f>
        <v>0</v>
      </c>
      <c r="G17" s="78">
        <f>SUMIFS(Tabela1[Amount],Tabela1[Month],Expenses!G$2,Tabela1[Category],Expenses!$A17)</f>
        <v>0</v>
      </c>
      <c r="H17" s="78">
        <f>SUMIFS(Tabela1[Amount],Tabela1[Month],Expenses!H$2,Tabela1[Category],Expenses!$A17)</f>
        <v>0</v>
      </c>
      <c r="I17" s="78">
        <f>SUMIFS(Tabela1[Amount],Tabela1[Month],Expenses!I$2,Tabela1[Category],Expenses!$A17)</f>
        <v>0</v>
      </c>
      <c r="J17" s="78">
        <f>SUMIFS(Tabela1[Amount],Tabela1[Month],Expenses!J$2,Tabela1[Category],Expenses!$A17)</f>
        <v>0</v>
      </c>
      <c r="K17" s="78">
        <f>SUMIFS(Tabela1[Amount],Tabela1[Month],Expenses!K$2,Tabela1[Category],Expenses!$A17)</f>
        <v>0</v>
      </c>
      <c r="L17" s="78">
        <f>SUMIFS(Tabela1[Amount],Tabela1[Month],Expenses!L$2,Tabela1[Category],Expenses!$A17)</f>
        <v>0</v>
      </c>
      <c r="M17" s="78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8">
        <f>SUMIFS(Tabela1[Amount],Tabela1[Month],Expenses!B$2,Tabela1[Category],Expenses!$A18)</f>
        <v>0</v>
      </c>
      <c r="C18" s="78">
        <f>SUMIFS(Tabela1[Amount],Tabela1[Month],Expenses!C$2,Tabela1[Category],Expenses!$A18)</f>
        <v>0</v>
      </c>
      <c r="D18" s="78">
        <f>SUMIFS(Tabela1[Amount],Tabela1[Month],Expenses!D$2,Tabela1[Category],Expenses!$A18)</f>
        <v>0</v>
      </c>
      <c r="E18" s="78">
        <f>SUMIFS(Tabela1[Amount],Tabela1[Month],Expenses!E$2,Tabela1[Category],Expenses!$A18)</f>
        <v>0</v>
      </c>
      <c r="F18" s="78">
        <f>SUMIFS(Tabela1[Amount],Tabela1[Month],Expenses!F$2,Tabela1[Category],Expenses!$A18)</f>
        <v>0</v>
      </c>
      <c r="G18" s="78">
        <f>SUMIFS(Tabela1[Amount],Tabela1[Month],Expenses!G$2,Tabela1[Category],Expenses!$A18)</f>
        <v>0</v>
      </c>
      <c r="H18" s="78">
        <f>SUMIFS(Tabela1[Amount],Tabela1[Month],Expenses!H$2,Tabela1[Category],Expenses!$A18)</f>
        <v>0</v>
      </c>
      <c r="I18" s="78">
        <f>SUMIFS(Tabela1[Amount],Tabela1[Month],Expenses!I$2,Tabela1[Category],Expenses!$A18)</f>
        <v>0</v>
      </c>
      <c r="J18" s="78">
        <f>SUMIFS(Tabela1[Amount],Tabela1[Month],Expenses!J$2,Tabela1[Category],Expenses!$A18)</f>
        <v>0</v>
      </c>
      <c r="K18" s="78">
        <f>SUMIFS(Tabela1[Amount],Tabela1[Month],Expenses!K$2,Tabela1[Category],Expenses!$A18)</f>
        <v>0</v>
      </c>
      <c r="L18" s="78">
        <f>SUMIFS(Tabela1[Amount],Tabela1[Month],Expenses!L$2,Tabela1[Category],Expenses!$A18)</f>
        <v>0</v>
      </c>
      <c r="M18" s="78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AA-7466-45C1-AB6A-4AD451301F03}">
  <dimension ref="B2:J17"/>
  <sheetViews>
    <sheetView zoomScale="80" zoomScaleNormal="80" workbookViewId="0">
      <selection activeCell="B2" sqref="B2"/>
    </sheetView>
  </sheetViews>
  <sheetFormatPr defaultRowHeight="15" x14ac:dyDescent="0.3"/>
  <cols>
    <col min="1" max="1" width="8.5703125" style="67" customWidth="1"/>
    <col min="2" max="3" width="17.140625" style="67" customWidth="1"/>
    <col min="4" max="4" width="4.42578125" style="67" customWidth="1"/>
    <col min="5" max="5" width="10.42578125" style="67" bestFit="1" customWidth="1"/>
    <col min="6" max="6" width="16.28515625" style="67" bestFit="1" customWidth="1"/>
    <col min="7" max="8" width="11.42578125" style="67" customWidth="1"/>
    <col min="9" max="10" width="17.140625" style="67" customWidth="1"/>
    <col min="11" max="13" width="9.140625" style="67"/>
    <col min="14" max="14" width="7.140625" style="67" customWidth="1"/>
    <col min="15" max="16384" width="9.140625" style="67"/>
  </cols>
  <sheetData>
    <row r="2" spans="2:10" x14ac:dyDescent="0.3">
      <c r="B2" s="28" t="s">
        <v>62</v>
      </c>
      <c r="C2" s="28" t="s">
        <v>49</v>
      </c>
      <c r="I2" s="28" t="s">
        <v>21</v>
      </c>
      <c r="J2" s="28" t="s">
        <v>56</v>
      </c>
    </row>
    <row r="3" spans="2:10" x14ac:dyDescent="0.3">
      <c r="B3" s="80" t="s">
        <v>0</v>
      </c>
      <c r="C3" s="81">
        <f>SUM(C6:C17)</f>
        <v>0</v>
      </c>
      <c r="I3" s="80" t="s">
        <v>0</v>
      </c>
      <c r="J3" s="81">
        <f>SUM(J6:J17)</f>
        <v>0</v>
      </c>
    </row>
    <row r="5" spans="2:10" x14ac:dyDescent="0.3">
      <c r="B5" s="67" t="s">
        <v>6</v>
      </c>
      <c r="C5" s="67" t="s">
        <v>20</v>
      </c>
      <c r="I5" s="67" t="s">
        <v>6</v>
      </c>
      <c r="J5" s="68" t="s">
        <v>20</v>
      </c>
    </row>
    <row r="6" spans="2:10" x14ac:dyDescent="0.3">
      <c r="B6" s="67" t="str" cm="1">
        <f t="array" ref="B6:B17">Months</f>
        <v>January</v>
      </c>
      <c r="C6" s="69" cm="1">
        <f t="array" ref="C6:C17">TRANSPOSE(_xlfn._xlws.FILTER('Net Salary'!B3:M14,Net_Salary='Graphic Categories'!C2))</f>
        <v>0</v>
      </c>
      <c r="I6" s="67" t="str" cm="1">
        <f t="array" ref="I6:I17">Months</f>
        <v>January</v>
      </c>
      <c r="J6" s="69" cm="1">
        <f t="array" ref="J6:J17">TRANSPOSE(_xlfn._xlws.FILTER(Expenses!B7:M18,Expenses='Graphic Categories'!J2))</f>
        <v>0</v>
      </c>
    </row>
    <row r="7" spans="2:10" x14ac:dyDescent="0.3">
      <c r="B7" s="67" t="str">
        <v>February</v>
      </c>
      <c r="C7" s="69">
        <v>0</v>
      </c>
      <c r="I7" s="67" t="str">
        <v>February</v>
      </c>
      <c r="J7" s="69">
        <v>0</v>
      </c>
    </row>
    <row r="8" spans="2:10" x14ac:dyDescent="0.3">
      <c r="B8" s="67" t="str">
        <v>March</v>
      </c>
      <c r="C8" s="69">
        <v>0</v>
      </c>
      <c r="I8" s="67" t="str">
        <v>March</v>
      </c>
      <c r="J8" s="69">
        <v>0</v>
      </c>
    </row>
    <row r="9" spans="2:10" x14ac:dyDescent="0.3">
      <c r="B9" s="67" t="str">
        <v>April</v>
      </c>
      <c r="C9" s="69">
        <v>0</v>
      </c>
      <c r="I9" s="67" t="str">
        <v>April</v>
      </c>
      <c r="J9" s="69">
        <v>0</v>
      </c>
    </row>
    <row r="10" spans="2:10" x14ac:dyDescent="0.3">
      <c r="B10" s="67" t="str">
        <v>May</v>
      </c>
      <c r="C10" s="69">
        <v>0</v>
      </c>
      <c r="I10" s="67" t="str">
        <v>May</v>
      </c>
      <c r="J10" s="69">
        <v>0</v>
      </c>
    </row>
    <row r="11" spans="2:10" x14ac:dyDescent="0.3">
      <c r="B11" s="67" t="str">
        <v>June</v>
      </c>
      <c r="C11" s="69">
        <v>0</v>
      </c>
      <c r="I11" s="67" t="str">
        <v>June</v>
      </c>
      <c r="J11" s="69">
        <v>0</v>
      </c>
    </row>
    <row r="12" spans="2:10" x14ac:dyDescent="0.3">
      <c r="B12" s="67" t="str">
        <v>July</v>
      </c>
      <c r="C12" s="69">
        <v>0</v>
      </c>
      <c r="I12" s="67" t="str">
        <v>July</v>
      </c>
      <c r="J12" s="69">
        <v>0</v>
      </c>
    </row>
    <row r="13" spans="2:10" x14ac:dyDescent="0.3">
      <c r="B13" s="67" t="str">
        <v>August</v>
      </c>
      <c r="C13" s="69">
        <v>0</v>
      </c>
      <c r="I13" s="67" t="str">
        <v>August</v>
      </c>
      <c r="J13" s="69">
        <v>0</v>
      </c>
    </row>
    <row r="14" spans="2:10" x14ac:dyDescent="0.3">
      <c r="B14" s="67" t="str">
        <v>September</v>
      </c>
      <c r="C14" s="69">
        <v>0</v>
      </c>
      <c r="I14" s="67" t="str">
        <v>September</v>
      </c>
      <c r="J14" s="69">
        <v>0</v>
      </c>
    </row>
    <row r="15" spans="2:10" x14ac:dyDescent="0.3">
      <c r="B15" s="67" t="str">
        <v>October</v>
      </c>
      <c r="C15" s="69">
        <v>0</v>
      </c>
      <c r="I15" s="67" t="str">
        <v>October</v>
      </c>
      <c r="J15" s="69">
        <v>0</v>
      </c>
    </row>
    <row r="16" spans="2:10" x14ac:dyDescent="0.3">
      <c r="B16" s="67" t="str">
        <v>November</v>
      </c>
      <c r="C16" s="69">
        <v>0</v>
      </c>
      <c r="I16" s="67" t="str">
        <v>November</v>
      </c>
      <c r="J16" s="69">
        <v>0</v>
      </c>
    </row>
    <row r="17" spans="2:10" x14ac:dyDescent="0.3">
      <c r="B17" s="67" t="str">
        <v>December</v>
      </c>
      <c r="C17" s="69">
        <v>0</v>
      </c>
      <c r="I17" s="67" t="str">
        <v>December</v>
      </c>
      <c r="J17" s="69">
        <v>0</v>
      </c>
    </row>
  </sheetData>
  <dataValidations count="2">
    <dataValidation type="list" allowBlank="1" showInputMessage="1" showErrorMessage="1" sqref="C2" xr:uid="{F3C6D088-7A2D-43B3-A954-374141D733A9}">
      <formula1>INDIRECT($B$2)</formula1>
    </dataValidation>
    <dataValidation type="list" allowBlank="1" showInputMessage="1" showErrorMessage="1" sqref="J2" xr:uid="{25F76189-A24E-400D-B956-F7969AA2CC14}">
      <formula1>INDIRECT($I$2)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="80" zoomScaleNormal="8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36</v>
      </c>
      <c r="D2" s="13" t="s">
        <v>37</v>
      </c>
      <c r="E2" s="4"/>
      <c r="F2" s="3" t="s">
        <v>21</v>
      </c>
      <c r="G2" s="4"/>
      <c r="H2" s="10" t="s">
        <v>38</v>
      </c>
      <c r="I2" s="11" t="s">
        <v>39</v>
      </c>
      <c r="K2" s="75" t="s">
        <v>41</v>
      </c>
      <c r="L2" s="76"/>
      <c r="M2" s="24"/>
      <c r="N2" s="75" t="s">
        <v>47</v>
      </c>
      <c r="O2" s="76"/>
    </row>
    <row r="3" spans="1:16" x14ac:dyDescent="0.3">
      <c r="A3" s="5" t="str" cm="1">
        <f t="array" ref="A3:A14">Months</f>
        <v>January</v>
      </c>
      <c r="B3" s="4"/>
      <c r="C3" s="38">
        <f>'Net Salary'!B16</f>
        <v>0</v>
      </c>
      <c r="D3" s="39">
        <f>SUM('Net Salary'!B$13:B$14)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42</v>
      </c>
      <c r="L3" s="39">
        <f>SUM('Net Salary'!B3:M7)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Salary'!C16</f>
        <v>0</v>
      </c>
      <c r="D4" s="39">
        <f>SUM('Net Salary'!C$13:C$14)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43</v>
      </c>
      <c r="L4" s="39">
        <f>SUM('Net Salary'!B8:M12)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Salary'!D16</f>
        <v>0</v>
      </c>
      <c r="D5" s="39">
        <f>SUM('Net Salary'!D$13:D$14)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36</v>
      </c>
      <c r="L5" s="39">
        <f>SUM('Net Salary'!B16:M16)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Salary'!E16</f>
        <v>0</v>
      </c>
      <c r="D6" s="39">
        <f>SUM('Net Salary'!E$13:E$14)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44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Salary'!F16</f>
        <v>0</v>
      </c>
      <c r="D7" s="39">
        <f>SUM('Net Salary'!F$13:F$14)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45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Salary'!G16</f>
        <v>0</v>
      </c>
      <c r="D8" s="39">
        <f>SUM('Net Salary'!G$13:G$14)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46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Salary'!H16</f>
        <v>0</v>
      </c>
      <c r="D9" s="39">
        <f>SUM('Net Salary'!H$13:H$14)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40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Salary'!I16</f>
        <v>0</v>
      </c>
      <c r="D10" s="39">
        <f>SUM('Net Salary'!I$13:I$14)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37</v>
      </c>
      <c r="L10" s="43">
        <f>'Graphic Annual'!D15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Salary'!J16</f>
        <v>0</v>
      </c>
      <c r="D11" s="39">
        <f>SUM('Net Salary'!J$13:J$14)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Salary'!K16</f>
        <v>0</v>
      </c>
      <c r="D12" s="39">
        <f>SUM('Net Salary'!K$13:K$14)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Salary'!L16</f>
        <v>0</v>
      </c>
      <c r="D13" s="39">
        <f>SUM('Net Salary'!L$13:L$14)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Salary'!M16</f>
        <v>0</v>
      </c>
      <c r="D14" s="39">
        <f>SUM('Net Salary'!M$13:M$14)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40</v>
      </c>
      <c r="I15" s="43">
        <f>'Graphic Annual'!L9</f>
        <v>0</v>
      </c>
    </row>
    <row r="16" spans="1:16" x14ac:dyDescent="0.3">
      <c r="A16" s="5" t="s">
        <v>35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9</vt:i4>
      </vt:variant>
    </vt:vector>
  </HeadingPairs>
  <TitlesOfParts>
    <vt:vector size="15" baseType="lpstr">
      <vt:lpstr>Data Validation</vt:lpstr>
      <vt:lpstr>Balance &amp; Tracking</vt:lpstr>
      <vt:lpstr>Net Salary</vt:lpstr>
      <vt:lpstr>Expenses</vt:lpstr>
      <vt:lpstr>Graphic Categories</vt:lpstr>
      <vt:lpstr>Graphic Annual</vt:lpstr>
      <vt:lpstr>Assets</vt:lpstr>
      <vt:lpstr>Dash</vt:lpstr>
      <vt:lpstr>Discount</vt:lpstr>
      <vt:lpstr>Expenses</vt:lpstr>
      <vt:lpstr>Income</vt:lpstr>
      <vt:lpstr>Investments</vt:lpstr>
      <vt:lpstr>Months</vt:lpstr>
      <vt:lpstr>Net_Salary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2024-01-28T16:09:44Z</dcterms:modified>
</cp:coreProperties>
</file>