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197549C1-1AC4-4C15-955E-4B4BA4F36FF8}" xr6:coauthVersionLast="47" xr6:coauthVersionMax="47" xr10:uidLastSave="{00000000-0000-0000-0000-000000000000}"/>
  <bookViews>
    <workbookView xWindow="-114" yWindow="-114" windowWidth="19704" windowHeight="11178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Dashbord" sheetId="13" r:id="rId5"/>
  </sheets>
  <definedNames>
    <definedName name="Accounts">'Data Validation'!$B$5:$B$9</definedName>
    <definedName name="Dash">Dashbord!$A$1:$P$26</definedName>
    <definedName name="Discount">'Data Validation'!$G$5:$G$9</definedName>
    <definedName name="Expenses">'Data Validation'!$E$5:$E$16</definedName>
    <definedName name="Income">'Data Validation'!$I$5:$I$9</definedName>
    <definedName name="Investments">'Data Validation'!$G$15:$G$16</definedName>
    <definedName name="Months">'Data Validation'!$O$5:$O$16</definedName>
    <definedName name="Net_Salary">'Data Validation'!$M$5:$M$16</definedName>
    <definedName name="Payment">'Data Validation'!$K$15</definedName>
    <definedName name="Transfer">'Data Validation'!$B$5:$B$8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2" l="1"/>
  <c r="C18" i="12"/>
  <c r="C19" i="12"/>
  <c r="C17" i="12"/>
  <c r="B2" i="8" l="1"/>
  <c r="K15" i="15"/>
  <c r="K5" i="15" l="1" a="1"/>
  <c r="K5" i="15" s="1"/>
  <c r="N3" i="13" l="1" a="1"/>
  <c r="N3" i="13" s="1"/>
  <c r="A3" i="13" a="1"/>
  <c r="A3" i="13" s="1"/>
  <c r="A7" i="1" a="1"/>
  <c r="A7" i="1" s="1"/>
  <c r="B2" i="1" a="1"/>
  <c r="B2" i="1" s="1"/>
  <c r="B4" i="8" a="1"/>
  <c r="B4" i="8" s="1"/>
  <c r="E3" i="12" a="1"/>
  <c r="E3" i="12" s="1"/>
  <c r="B9" i="12" a="1"/>
  <c r="C13" i="12" s="1"/>
  <c r="M15" i="15" a="1"/>
  <c r="M15" i="15" s="1"/>
  <c r="M10" i="15" a="1"/>
  <c r="M10" i="15" s="1"/>
  <c r="M5" i="15" a="1"/>
  <c r="M5" i="15" s="1"/>
  <c r="C12" i="12" l="1" a="1"/>
  <c r="C12" i="12" s="1"/>
  <c r="C11" i="12" a="1"/>
  <c r="C11" i="12" s="1"/>
  <c r="C10" i="12" a="1"/>
  <c r="C10" i="12" s="1"/>
  <c r="A5" i="8" a="1"/>
  <c r="A5" i="8" s="1"/>
  <c r="B9" i="12"/>
  <c r="C9" i="12" s="1" a="1"/>
  <c r="C9" i="12" s="1"/>
  <c r="A20" i="8" l="1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5" i="8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9" i="8"/>
  <c r="B13" i="8"/>
  <c r="B6" i="8"/>
  <c r="B14" i="8"/>
  <c r="B8" i="8"/>
  <c r="B16" i="8"/>
  <c r="B8" i="1"/>
  <c r="B12" i="1"/>
  <c r="O8" i="13" s="1"/>
  <c r="B16" i="1"/>
  <c r="O12" i="13" s="1"/>
  <c r="B10" i="8"/>
  <c r="B12" i="8"/>
  <c r="B9" i="1"/>
  <c r="O5" i="13" s="1"/>
  <c r="B13" i="1"/>
  <c r="O9" i="13" s="1"/>
  <c r="B17" i="1"/>
  <c r="B7" i="8"/>
  <c r="B11" i="8"/>
  <c r="B15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F3" i="12" a="1"/>
  <c r="F3" i="12" s="1"/>
  <c r="B20" i="8"/>
  <c r="O13" i="13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4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<sst xmlns="http://schemas.openxmlformats.org/spreadsheetml/2006/main" count="114" uniqueCount="81">
  <si>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</si>
  <si>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</si>
  <si>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</si>
  <si>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</si>
  <si>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</si>
  <si>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</si>
  <si>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</si>
  <si>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</si>
  <si>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</si>
  <si>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</si>
  <si>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</si>
  <si>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</si>
  <si>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</si>
  <si>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</si>
  <si>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</si>
  <si>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</si>
  <si>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</si>
  <si>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</si>
  <si>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</si>
  <si>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</si>
  <si>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</si>
  <si>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</si>
  <si>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</si>
  <si>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</si>
  <si>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</si>
  <si>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</si>
  <si>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</si>
  <si>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</si>
  <si>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</si>
  <si>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</si>
  <si>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</si>
  <si>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</si>
  <si>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</si>
  <si>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</si>
  <si>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</si>
  <si>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</si>
  <si>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</si>
  <si>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</si>
  <si>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</si>
  <si>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</si>
  <si>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</si>
  <si>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</si>
  <si>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</si>
  <si>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</si>
  <si>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</si>
  <si>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</si>
  <si>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</si>
  <si>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</si>
  <si>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</si>
  <si>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</si>
  <si>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</si>
  <si>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</si>
  <si>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</si>
  <si>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</si>
  <si>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</si>
  <si>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</si>
  <si>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</si>
  <si>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</si>
  <si>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</si>
  <si>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</si>
  <si>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</si>
  <si>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</si>
  <si>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</si>
  <si>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</si>
  <si>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</si>
  <si>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</si>
  <si>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</si>
  <si>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</si>
  <si>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</si>
  <si>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</si>
  <si>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</si>
  <si>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</si>
  <si>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</si>
  <si>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</si>
  <si>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</si>
  <si>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Credit Card</t>
  </si>
  <si>
    <t>Payment</t>
  </si>
  <si>
    <t>Cash</t>
  </si>
  <si>
    <t>Bank 2</t>
  </si>
  <si>
    <t>Initial Balance</t>
  </si>
  <si>
    <t>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</si>
</sst>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5" fontId="2" fillId="4" borderId="1" xfId="0" applyNumberFormat="1" applyFont="1" applyFill="1" applyBorder="1" applyAlignment="1">
      <alignment horizontal="left"/>
    </xf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44" fontId="2" fillId="4" borderId="1" xfId="1" applyFont="1" applyFill="1" applyBorder="1" applyAlignment="1">
      <alignment horizontal="center"/>
    </xf>
    <xf numFmtId="44" fontId="3" fillId="2" borderId="1" xfId="1" applyFont="1" applyFill="1" applyBorder="1"/>
    <xf numFmtId="44" fontId="0" fillId="6" borderId="1" xfId="1" applyFont="1" applyFill="1" applyBorder="1"/>
    <xf numFmtId="44" fontId="0" fillId="7" borderId="1" xfId="1" applyFont="1" applyFill="1" applyBorder="1"/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165" fontId="4" fillId="0" borderId="0" xfId="0" applyNumberFormat="1" applyFont="1" applyFill="1" applyAlignment="1">
      <alignment horizontal="center"/>
    </xf>
    <xf numFmtId="164" fontId="4" fillId="0" borderId="0" xfId="0" applyNumberFormat="1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16"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5"/>
      <tableStyleElement type="headerRow" dxfId="14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Dashbord!$C$2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Dashbord!$F$2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Dashbord!$D$2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Real Balance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Dashbord!$I$3:$I$14</c15:sqref>
                        </c15:formulaRef>
                      </c:ext>
                    </c:extLst>
                    <c:numCache>
                      <c:formatCode>_-[$$-409]* #,##0.00_ ;_-[$$-409]* \-#,##0.00\ ;_-[$$-409]* "-"??_ ;_-@_ 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287-4164-865E-BEA34211959C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Dashbord!$K$2:$K$10</c15:sqref>
                  </c15:fullRef>
                </c:ext>
              </c:extLst>
              <c:f>(Dashbord!$K$3:$K$7,Dashbord!$K$10)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Dashbord!$L$2:$L$10</c15:sqref>
                  </c15:fullRef>
                </c:ext>
              </c:extLst>
              <c:f>(Dashbord!$L$3:$L$7,Dashbord!$L$10)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Dashbord!$O$3:$O$13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38994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33593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7331</xdr:rowOff>
    </xdr:from>
    <xdr:to>
      <xdr:col>16</xdr:col>
      <xdr:colOff>1391</xdr:colOff>
      <xdr:row>26</xdr:row>
      <xdr:rowOff>25081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3" dataDxfId="12">
  <autoFilter ref="B16:H20" xr:uid="{739BA625-5E32-4F47-8323-C47308DEF24A}"/>
  <sortState xmlns:xlrd2="http://schemas.microsoft.com/office/spreadsheetml/2017/richdata2" ref="B17:H21">
    <sortCondition ref="B16:B21"/>
  </sortState>
  <tableColumns count="7">
    <tableColumn id="1" xr3:uid="{F0A7AC4E-C2B6-48F0-8ABD-146393E8FC69}" name="Date" dataDxfId="11"/>
    <tableColumn id="2" xr3:uid="{684795FD-753E-4C1F-B63E-5EE124E9D624}" name="Month" dataDxfId="10">
      <calculatedColumnFormula>IF(ISBLANK(B17),"",PROPER(TEXT(B17,"MMMM")))</calculatedColumnFormula>
    </tableColumn>
    <tableColumn id="6" xr3:uid="{23818CCC-08C7-4066-9B86-98D831460C75}" name="Operation" dataDxfId="9"/>
    <tableColumn id="3" xr3:uid="{78815540-1C3C-4370-A3E4-1C8E033CFC39}" name="Category" dataDxfId="8"/>
    <tableColumn id="7" xr3:uid="{F153B94E-6C60-4C63-A86C-8519A94E1F13}" name="Account" dataDxfId="7"/>
    <tableColumn id="4" xr3:uid="{EE54C9A2-2D53-4D6A-93DF-88B691A8C3D9}" name="Amount" dataDxfId="6" dataCellStyle="Moeda"/>
    <tableColumn id="5" xr3:uid="{28149A80-D409-4A63-B4C2-6EDA92C21F54}" name="Description" dataDxfId="5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O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69" customWidth="1"/>
    <col min="2" max="3" width="14.28515625" style="69" customWidth="1"/>
    <col min="4" max="4" width="3.5703125" style="69" customWidth="1"/>
    <col min="5" max="5" width="17.140625" style="69" customWidth="1"/>
    <col min="6" max="6" width="3.5703125" style="69" customWidth="1"/>
    <col min="7" max="7" width="17.140625" style="69" customWidth="1"/>
    <col min="8" max="8" width="3.5703125" style="69" customWidth="1"/>
    <col min="9" max="9" width="17.140625" style="69" customWidth="1"/>
    <col min="10" max="10" width="3.5703125" style="69" customWidth="1"/>
    <col min="11" max="11" width="14.28515625" style="69" customWidth="1"/>
    <col min="12" max="12" width="3.5703125" style="69" customWidth="1"/>
    <col min="13" max="13" width="17.140625" style="69" customWidth="1"/>
    <col min="14" max="14" width="3.5703125" style="69" customWidth="1"/>
    <col min="15" max="15" width="14.28515625" style="69" customWidth="1"/>
    <col min="16" max="16384" width="9.140625" style="69"/>
  </cols>
  <sheetData>
    <row r="2" spans="2:15" x14ac:dyDescent="0.25">
      <c r="B2" s="69" t="s">
        <v>71</v>
      </c>
    </row>
    <row r="4" spans="2:15" ht="15" x14ac:dyDescent="0.3">
      <c r="B4" s="28" t="s">
        <v>73</v>
      </c>
      <c r="C4" s="28" t="s">
        <v>79</v>
      </c>
      <c r="E4" s="28" t="s">
        <v>21</v>
      </c>
      <c r="G4" s="28" t="s">
        <v>39</v>
      </c>
      <c r="I4" s="28" t="s">
        <v>44</v>
      </c>
      <c r="K4" s="28" t="s">
        <v>66</v>
      </c>
      <c r="M4" s="28" t="s">
        <v>30</v>
      </c>
      <c r="O4" s="28" t="s">
        <v>67</v>
      </c>
    </row>
    <row r="5" spans="2:15" x14ac:dyDescent="0.25">
      <c r="B5" s="70" t="s">
        <v>24</v>
      </c>
      <c r="C5" s="77">
        <v>0</v>
      </c>
      <c r="E5" s="70" t="s">
        <v>52</v>
      </c>
      <c r="G5" s="70" t="s">
        <v>49</v>
      </c>
      <c r="I5" s="70" t="s">
        <v>45</v>
      </c>
      <c r="K5" s="71" t="str" cm="1">
        <f t="array" ref="K5:K8">Transfer</f>
        <v>Bank 1</v>
      </c>
      <c r="M5" s="71" t="str" cm="1">
        <f t="array" ref="M5:M9">Income</f>
        <v>Salary</v>
      </c>
      <c r="O5" s="71" t="s">
        <v>7</v>
      </c>
    </row>
    <row r="6" spans="2:15" x14ac:dyDescent="0.25">
      <c r="B6" s="70" t="s">
        <v>78</v>
      </c>
      <c r="C6" s="77">
        <v>0</v>
      </c>
      <c r="E6" s="70" t="s">
        <v>70</v>
      </c>
      <c r="G6" s="70" t="s">
        <v>48</v>
      </c>
      <c r="I6" s="70" t="s">
        <v>46</v>
      </c>
      <c r="K6" s="71" t="str">
        <v>Bank 2</v>
      </c>
      <c r="M6" s="71" t="str">
        <v>Seals</v>
      </c>
      <c r="O6" s="71" t="s">
        <v>8</v>
      </c>
    </row>
    <row r="7" spans="2:15" x14ac:dyDescent="0.25">
      <c r="B7" s="70" t="s">
        <v>77</v>
      </c>
      <c r="C7" s="77">
        <v>0</v>
      </c>
      <c r="E7" s="70" t="s">
        <v>53</v>
      </c>
      <c r="G7" s="70" t="s">
        <v>63</v>
      </c>
      <c r="I7" s="70" t="s">
        <v>65</v>
      </c>
      <c r="K7" s="71" t="str">
        <v>Cash</v>
      </c>
      <c r="M7" s="71" t="str">
        <v>Rent</v>
      </c>
      <c r="O7" s="71" t="s">
        <v>9</v>
      </c>
    </row>
    <row r="8" spans="2:15" x14ac:dyDescent="0.25">
      <c r="B8" s="70" t="s">
        <v>72</v>
      </c>
      <c r="C8" s="77">
        <v>0</v>
      </c>
      <c r="E8" s="70" t="s">
        <v>54</v>
      </c>
      <c r="G8" s="70" t="s">
        <v>59</v>
      </c>
      <c r="I8" s="70" t="s">
        <v>58</v>
      </c>
      <c r="K8" s="71" t="str">
        <v>Savings</v>
      </c>
      <c r="M8" s="71" t="str">
        <v>Seals II</v>
      </c>
      <c r="O8" s="71" t="s">
        <v>10</v>
      </c>
    </row>
    <row r="9" spans="2:15" x14ac:dyDescent="0.25">
      <c r="B9" s="71" t="s">
        <v>75</v>
      </c>
      <c r="C9" s="78">
        <v>0</v>
      </c>
      <c r="E9" s="70" t="s">
        <v>51</v>
      </c>
      <c r="G9" s="70" t="s">
        <v>50</v>
      </c>
      <c r="I9" s="70" t="s">
        <v>47</v>
      </c>
      <c r="M9" s="71" t="str">
        <v>Other - Income</v>
      </c>
      <c r="O9" s="71" t="s">
        <v>11</v>
      </c>
    </row>
    <row r="10" spans="2:15" x14ac:dyDescent="0.25">
      <c r="E10" s="70" t="s">
        <v>5</v>
      </c>
      <c r="M10" s="71" t="str" cm="1">
        <f t="array" ref="M10:M14">Discount</f>
        <v>Tax I</v>
      </c>
      <c r="O10" s="71" t="s">
        <v>12</v>
      </c>
    </row>
    <row r="11" spans="2:15" x14ac:dyDescent="0.25">
      <c r="E11" s="70" t="s">
        <v>55</v>
      </c>
      <c r="M11" s="71" t="str">
        <v>Tax II</v>
      </c>
      <c r="O11" s="71" t="s">
        <v>13</v>
      </c>
    </row>
    <row r="12" spans="2:15" x14ac:dyDescent="0.25">
      <c r="E12" s="70" t="s">
        <v>56</v>
      </c>
      <c r="M12" s="71" t="str">
        <v>Bank Fee I</v>
      </c>
      <c r="O12" s="71" t="s">
        <v>14</v>
      </c>
    </row>
    <row r="13" spans="2:15" x14ac:dyDescent="0.25">
      <c r="E13" s="70" t="s">
        <v>62</v>
      </c>
      <c r="M13" s="71" t="str">
        <v>Bank Fee II</v>
      </c>
      <c r="O13" s="71" t="s">
        <v>15</v>
      </c>
    </row>
    <row r="14" spans="2:15" ht="15" x14ac:dyDescent="0.3">
      <c r="E14" s="70" t="s">
        <v>60</v>
      </c>
      <c r="G14" s="28" t="s">
        <v>33</v>
      </c>
      <c r="K14" s="28" t="s">
        <v>76</v>
      </c>
      <c r="M14" s="71" t="str">
        <v>Other - Discount</v>
      </c>
      <c r="O14" s="71" t="s">
        <v>16</v>
      </c>
    </row>
    <row r="15" spans="2:15" x14ac:dyDescent="0.25">
      <c r="E15" s="70" t="s">
        <v>61</v>
      </c>
      <c r="G15" s="70" t="s">
        <v>69</v>
      </c>
      <c r="K15" s="71" t="str">
        <f>B9</f>
        <v>Credit Card</v>
      </c>
      <c r="M15" s="71" t="str" cm="1">
        <f t="array" ref="M15:M16">Investments</f>
        <v>Stock Market</v>
      </c>
      <c r="O15" s="71" t="s">
        <v>17</v>
      </c>
    </row>
    <row r="16" spans="2:15" x14ac:dyDescent="0.25">
      <c r="E16" s="70" t="s">
        <v>57</v>
      </c>
      <c r="G16" s="70" t="s">
        <v>68</v>
      </c>
      <c r="M16" s="71" t="str">
        <v>Real Estate</v>
      </c>
      <c r="O16" s="71" t="s">
        <v>18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E2" s="65" t="s">
        <v>19</v>
      </c>
      <c r="F2" s="66" t="s">
        <v>20</v>
      </c>
    </row>
    <row r="3" spans="1:8" ht="14.3" customHeight="1" x14ac:dyDescent="0.3">
      <c r="B3" s="67" t="s">
        <v>21</v>
      </c>
      <c r="C3" s="35">
        <f>IF(B3="Expenses",HLOOKUP(B2,Expenses!B2:M20,19,FALSE),IF(B3="Net Salary",HLOOKUP(B2,'Net Salary'!B4:M18,15,FALSE),""))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Salary'!B5:M16,'Net Salary'!B4:M4=B2),""))</f>
        <v>0</v>
      </c>
      <c r="H3" s="54"/>
    </row>
    <row r="4" spans="1:8" ht="14.3" customHeight="1" x14ac:dyDescent="0.3">
      <c r="B4" s="15" t="s">
        <v>64</v>
      </c>
      <c r="C4" s="68" t="e">
        <f>HLOOKUP(B2,Expenses!B2:M20,19,FALSE)/HLOOKUP(B2,'Net Salary'!B4:M18,15,FALSE)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VLOOKUP(B2,Dashbord!A3:I14,9,FALSE)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Dashbord!I15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73</v>
      </c>
      <c r="C8" s="28" t="s">
        <v>0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3">Accounts</f>
        <v>Bank 1</v>
      </c>
      <c r="C9" s="36" cm="1">
        <f t="array" aca="1" ref="C9" ca="1">SUM(SUMIFS(Tabela1[Amount],Tabela1[Operation],{"Income";"Transfer"},Tabela1[Account],B9,Tabela1[Date],"&lt;="&amp;(TODAY())))-SUMIFS(Tabela1[Amount],Tabela1[Operation],"&lt;&gt;Income",Tabela1[Operation],"&lt;&gt;Transfer",Tabela1[Account],B9,Tabela1[Date],"&lt;="&amp;(TODAY())) - SUMIFS(Tabela1[Amount],Tabela1[Category],B9,Tabela1[Date],"&lt;="&amp;(TODAY()))+VLOOKUP(B9,'Data Validation'!B5:C9,2,FALSE)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SUM(SUMIFS(Tabela1[Amount],Tabela1[Operation],{"Income";"Transfer"},Tabela1[Account],B10,Tabela1[Date],"&lt;="&amp;(TODAY())))-SUMIFS(Tabela1[Amount],Tabela1[Operation],"&lt;&gt;Income",Tabela1[Operation],"&lt;&gt;Transfer",Tabela1[Account],B10,Tabela1[Date],"&lt;="&amp;(TODAY())) - SUMIFS(Tabela1[Amount],Tabela1[Category],B10,Tabela1[Date],"&lt;="&amp;(TODAY()))+VLOOKUP(B10,'Data Validation'!B6:C10,2,FALSE)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Cash</v>
      </c>
      <c r="C11" s="36" cm="1">
        <f t="array" aca="1" ref="C11" ca="1">SUM(SUMIFS(Tabela1[Amount],Tabela1[Operation],{"Income";"Transfer"},Tabela1[Account],B11,Tabela1[Date],"&lt;="&amp;(TODAY())))-SUMIFS(Tabela1[Amount],Tabela1[Operation],"&lt;&gt;Income",Tabela1[Operation],"&lt;&gt;Transfer",Tabela1[Account],B11,Tabela1[Date],"&lt;="&amp;(TODAY())) - SUMIFS(Tabela1[Amount],Tabela1[Category],B11,Tabela1[Date],"&lt;="&amp;(TODAY()))+VLOOKUP(B11,'Data Validation'!B7:C11,2,FALSE)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tr">
        <v>Savings</v>
      </c>
      <c r="C12" s="36" cm="1">
        <f t="array" aca="1" ref="C12" ca="1">SUM(SUMIFS(Tabela1[Amount],Tabela1[Operation],{"Income";"Transfer"},Tabela1[Account],B12,Tabela1[Date],"&lt;="&amp;(TODAY())))-SUMIFS(Tabela1[Amount],Tabela1[Operation],"&lt;&gt;Income",Tabela1[Operation],"&lt;&gt;Transfer",Tabela1[Account],B12,Tabela1[Date],"&lt;="&amp;(TODAY())) - SUMIFS(Tabela1[Amount],Tabela1[Category],B12,Tabela1[Date],"&lt;="&amp;(TODAY()))+VLOOKUP(B12,'Data Validation'!B8:C12,2,FALSE)</f>
        <v>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tr">
        <v>Credit Card</v>
      </c>
      <c r="C13" s="35">
        <f ca="1">SUMIFS(Tabela1[Amount],Tabela1[Account],B13,Tabela1[Date],"&lt;="&amp;(TODAY()))-SUMIFS(Tabela1[Amount],Tabela1[Category],B13,Tabela1[Date],"&lt;="&amp;(TODAY()))+VLOOKUP(B13,'Data Validation'!B5:C9,2,FALSE)</f>
        <v>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15" t="s">
        <v>25</v>
      </c>
      <c r="C14" s="35">
        <f ca="1">ROUND(C5-SUM(C9:C12),2)</f>
        <v>-150</v>
      </c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26</v>
      </c>
      <c r="C16" s="17" t="s">
        <v>6</v>
      </c>
      <c r="D16" s="17" t="s">
        <v>27</v>
      </c>
      <c r="E16" s="18" t="s">
        <v>28</v>
      </c>
      <c r="F16" s="18" t="s">
        <v>74</v>
      </c>
      <c r="G16" s="19" t="s">
        <v>20</v>
      </c>
      <c r="H16" s="18" t="s">
        <v>29</v>
      </c>
    </row>
    <row r="17" spans="2:9" ht="13.55" customHeight="1" x14ac:dyDescent="0.3">
      <c r="B17" s="20">
        <v>45292</v>
      </c>
      <c r="C17" s="21" t="str">
        <f>IF(ISBLANK(B17),"",PROPER(TEXT(B17,"MMMM")))</f>
        <v>Janeiro</v>
      </c>
      <c r="D17" s="21" t="s">
        <v>44</v>
      </c>
      <c r="E17" s="22" t="s">
        <v>45</v>
      </c>
      <c r="F17" s="22" t="s">
        <v>24</v>
      </c>
      <c r="G17" s="37">
        <v>150</v>
      </c>
      <c r="H17" s="23" t="s">
        <v>80</v>
      </c>
    </row>
    <row r="18" spans="2:9" x14ac:dyDescent="0.3">
      <c r="B18" s="20"/>
      <c r="C18" s="21" t="str">
        <f t="shared" ref="C18:C19" si="0">IF(ISBLANK(B18),"",PROPER(TEXT(B18,"MMMM")))</f>
        <v/>
      </c>
      <c r="D18" s="21"/>
      <c r="E18" s="22"/>
      <c r="F18" s="22"/>
      <c r="G18" s="37"/>
      <c r="H18" s="23"/>
    </row>
    <row r="19" spans="2:9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9" x14ac:dyDescent="0.3">
      <c r="B20" s="81"/>
      <c r="C20" s="82" t="str">
        <f>IF(ISBLANK(B20),"",PROPER(TEXT(B20,"MMMM")))</f>
        <v/>
      </c>
      <c r="D20" s="21"/>
      <c r="E20" s="83"/>
      <c r="F20" s="22"/>
      <c r="G20" s="37"/>
      <c r="H20" s="84"/>
    </row>
    <row r="23" spans="2:9" x14ac:dyDescent="0.3">
      <c r="G23" s="55"/>
    </row>
    <row r="25" spans="2:9" x14ac:dyDescent="0.3">
      <c r="G25" s="55"/>
    </row>
    <row r="26" spans="2:9" x14ac:dyDescent="0.3">
      <c r="G26" s="55"/>
    </row>
    <row r="27" spans="2:9" x14ac:dyDescent="0.3">
      <c r="G27" s="55"/>
    </row>
    <row r="28" spans="2:9" x14ac:dyDescent="0.3">
      <c r="G28" s="55"/>
    </row>
    <row r="30" spans="2:9" x14ac:dyDescent="0.3">
      <c r="I30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7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:C14">
    <cfRule type="cellIs" dxfId="4" priority="8" operator="equal">
      <formula>0</formula>
    </cfRule>
    <cfRule type="cellIs" dxfId="3" priority="9" operator="notEqual">
      <formula>0</formula>
    </cfRule>
  </conditionalFormatting>
  <conditionalFormatting sqref="D17:D20 G17:G20">
    <cfRule type="expression" dxfId="2" priority="1">
      <formula>$D17="Payment"</formula>
    </cfRule>
    <cfRule type="expression" dxfId="1" priority="2">
      <formula>$D17="Expenses"</formula>
    </cfRule>
    <cfRule type="expression" dxfId="0" priority="5">
      <formula>$D17="Discount"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D17:D20" xr:uid="{0261ACD4-BAB2-4EA0-87AC-74F751F397E2}">
      <formula1>"Income, Discount, Investments, Expenses, Transfer, Payment"</formula1>
    </dataValidation>
    <dataValidation type="list" allowBlank="1" showInputMessage="1" showErrorMessage="1" sqref="B2" xr:uid="{D9270E47-B020-4CBF-A3A9-E523B28C14E7}">
      <formula1>Months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Accounts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0"/>
  <sheetViews>
    <sheetView zoomScale="120" zoomScaleNormal="120" workbookViewId="0">
      <pane xSplit="1" topLeftCell="B1" activePane="topRight" state="frozen"/>
      <selection pane="topRight" activeCell="B2" sqref="B2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1" spans="1:13" ht="14.3" customHeight="1" x14ac:dyDescent="0.3"/>
    <row r="2" spans="1:13" ht="17.850000000000001" customHeight="1" x14ac:dyDescent="0.3">
      <c r="A2" s="75" t="s">
        <v>79</v>
      </c>
      <c r="B2" s="76">
        <f>SUM('Data Validation'!C5:C8)-'Data Validation'!C9</f>
        <v>0</v>
      </c>
    </row>
    <row r="3" spans="1:13" ht="14.3" customHeight="1" x14ac:dyDescent="0.3"/>
    <row r="4" spans="1:13" ht="17.850000000000001" customHeight="1" x14ac:dyDescent="0.3">
      <c r="B4" s="28" t="str" cm="1">
        <f t="array" ref="B4:M4">TRANSPOSE(Months)</f>
        <v>January</v>
      </c>
      <c r="C4" s="28" t="str">
        <v>February</v>
      </c>
      <c r="D4" s="28" t="str">
        <v>March</v>
      </c>
      <c r="E4" s="28" t="str">
        <v>April</v>
      </c>
      <c r="F4" s="28" t="str">
        <v>May</v>
      </c>
      <c r="G4" s="28" t="str">
        <v>June</v>
      </c>
      <c r="H4" s="28" t="str">
        <v>July</v>
      </c>
      <c r="I4" s="28" t="str">
        <v>August</v>
      </c>
      <c r="J4" s="28" t="str">
        <v>September</v>
      </c>
      <c r="K4" s="28" t="str">
        <v>October</v>
      </c>
      <c r="L4" s="28" t="str">
        <v>November</v>
      </c>
      <c r="M4" s="28" t="str">
        <v>December</v>
      </c>
    </row>
    <row r="5" spans="1:13" ht="18" customHeight="1" x14ac:dyDescent="0.3">
      <c r="A5" s="30" t="str" cm="1">
        <f t="array" ref="A5:A16">Net_Salary</f>
        <v>Salary</v>
      </c>
      <c r="B5" s="73">
        <f>SUMIFS(Tabela1[Amount],Tabela1[Month],B$4,Tabela1[Category],$A5)</f>
        <v>0</v>
      </c>
      <c r="C5" s="73">
        <f>SUMIFS(Tabela1[Amount],Tabela1[Month],C$4,Tabela1[Category],$A5)</f>
        <v>0</v>
      </c>
      <c r="D5" s="73">
        <f>SUMIFS(Tabela1[Amount],Tabela1[Month],D$4,Tabela1[Category],$A5)</f>
        <v>0</v>
      </c>
      <c r="E5" s="73">
        <f>SUMIFS(Tabela1[Amount],Tabela1[Month],E$4,Tabela1[Category],$A5)</f>
        <v>0</v>
      </c>
      <c r="F5" s="73">
        <f>SUMIFS(Tabela1[Amount],Tabela1[Month],F$4,Tabela1[Category],$A5)</f>
        <v>0</v>
      </c>
      <c r="G5" s="73">
        <f>SUMIFS(Tabela1[Amount],Tabela1[Month],G$4,Tabela1[Category],$A5)</f>
        <v>0</v>
      </c>
      <c r="H5" s="73">
        <f>SUMIFS(Tabela1[Amount],Tabela1[Month],H$4,Tabela1[Category],$A5)</f>
        <v>0</v>
      </c>
      <c r="I5" s="73">
        <f>SUMIFS(Tabela1[Amount],Tabela1[Month],I$4,Tabela1[Category],$A5)</f>
        <v>0</v>
      </c>
      <c r="J5" s="73">
        <f>SUMIFS(Tabela1[Amount],Tabela1[Month],J$4,Tabela1[Category],$A5)</f>
        <v>0</v>
      </c>
      <c r="K5" s="73">
        <f>SUMIFS(Tabela1[Amount],Tabela1[Month],K$4,Tabela1[Category],$A5)</f>
        <v>0</v>
      </c>
      <c r="L5" s="73">
        <f>SUMIFS(Tabela1[Amount],Tabela1[Month],L$4,Tabela1[Category],$A5)</f>
        <v>0</v>
      </c>
      <c r="M5" s="73">
        <f>SUMIFS(Tabela1[Amount],Tabela1[Month],M$4,Tabela1[Category],$A5)</f>
        <v>0</v>
      </c>
    </row>
    <row r="6" spans="1:13" ht="18" customHeight="1" x14ac:dyDescent="0.3">
      <c r="A6" s="30" t="str">
        <v>Seals</v>
      </c>
      <c r="B6" s="73">
        <f>SUMIFS(Tabela1[Amount],Tabela1[Month],B$4,Tabela1[Category],$A6)</f>
        <v>0</v>
      </c>
      <c r="C6" s="73">
        <f>SUMIFS(Tabela1[Amount],Tabela1[Month],C$4,Tabela1[Category],$A6)</f>
        <v>0</v>
      </c>
      <c r="D6" s="73">
        <f>SUMIFS(Tabela1[Amount],Tabela1[Month],D$4,Tabela1[Category],$A6)</f>
        <v>0</v>
      </c>
      <c r="E6" s="73">
        <f>SUMIFS(Tabela1[Amount],Tabela1[Month],E$4,Tabela1[Category],$A6)</f>
        <v>0</v>
      </c>
      <c r="F6" s="73">
        <f>SUMIFS(Tabela1[Amount],Tabela1[Month],F$4,Tabela1[Category],$A6)</f>
        <v>0</v>
      </c>
      <c r="G6" s="73">
        <f>SUMIFS(Tabela1[Amount],Tabela1[Month],G$4,Tabela1[Category],$A6)</f>
        <v>0</v>
      </c>
      <c r="H6" s="73">
        <f>SUMIFS(Tabela1[Amount],Tabela1[Month],H$4,Tabela1[Category],$A6)</f>
        <v>0</v>
      </c>
      <c r="I6" s="73">
        <f>SUMIFS(Tabela1[Amount],Tabela1[Month],I$4,Tabela1[Category],$A6)</f>
        <v>0</v>
      </c>
      <c r="J6" s="73">
        <f>SUMIFS(Tabela1[Amount],Tabela1[Month],J$4,Tabela1[Category],$A6)</f>
        <v>0</v>
      </c>
      <c r="K6" s="73">
        <f>SUMIFS(Tabela1[Amount],Tabela1[Month],K$4,Tabela1[Category],$A6)</f>
        <v>0</v>
      </c>
      <c r="L6" s="73">
        <f>SUMIFS(Tabela1[Amount],Tabela1[Month],L$4,Tabela1[Category],$A6)</f>
        <v>0</v>
      </c>
      <c r="M6" s="73">
        <f>SUMIFS(Tabela1[Amount],Tabela1[Month],M$4,Tabela1[Category],$A6)</f>
        <v>0</v>
      </c>
    </row>
    <row r="7" spans="1:13" ht="18" customHeight="1" x14ac:dyDescent="0.3">
      <c r="A7" s="30" t="str">
        <v>Rent</v>
      </c>
      <c r="B7" s="73">
        <f>SUMIFS(Tabela1[Amount],Tabela1[Month],B$4,Tabela1[Category],$A7)</f>
        <v>0</v>
      </c>
      <c r="C7" s="73">
        <f>SUMIFS(Tabela1[Amount],Tabela1[Month],C$4,Tabela1[Category],$A7)</f>
        <v>0</v>
      </c>
      <c r="D7" s="73">
        <f>SUMIFS(Tabela1[Amount],Tabela1[Month],D$4,Tabela1[Category],$A7)</f>
        <v>0</v>
      </c>
      <c r="E7" s="73">
        <f>SUMIFS(Tabela1[Amount],Tabela1[Month],E$4,Tabela1[Category],$A7)</f>
        <v>0</v>
      </c>
      <c r="F7" s="73">
        <f>SUMIFS(Tabela1[Amount],Tabela1[Month],F$4,Tabela1[Category],$A7)</f>
        <v>0</v>
      </c>
      <c r="G7" s="73">
        <f>SUMIFS(Tabela1[Amount],Tabela1[Month],G$4,Tabela1[Category],$A7)</f>
        <v>0</v>
      </c>
      <c r="H7" s="73">
        <f>SUMIFS(Tabela1[Amount],Tabela1[Month],H$4,Tabela1[Category],$A7)</f>
        <v>0</v>
      </c>
      <c r="I7" s="73">
        <f>SUMIFS(Tabela1[Amount],Tabela1[Month],I$4,Tabela1[Category],$A7)</f>
        <v>0</v>
      </c>
      <c r="J7" s="73">
        <f>SUMIFS(Tabela1[Amount],Tabela1[Month],J$4,Tabela1[Category],$A7)</f>
        <v>0</v>
      </c>
      <c r="K7" s="73">
        <f>SUMIFS(Tabela1[Amount],Tabela1[Month],K$4,Tabela1[Category],$A7)</f>
        <v>0</v>
      </c>
      <c r="L7" s="73">
        <f>SUMIFS(Tabela1[Amount],Tabela1[Month],L$4,Tabela1[Category],$A7)</f>
        <v>0</v>
      </c>
      <c r="M7" s="73">
        <f>SUMIFS(Tabela1[Amount],Tabela1[Month],M$4,Tabela1[Category],$A7)</f>
        <v>0</v>
      </c>
    </row>
    <row r="8" spans="1:13" ht="18" customHeight="1" x14ac:dyDescent="0.3">
      <c r="A8" s="30" t="str">
        <v>Seals II</v>
      </c>
      <c r="B8" s="73">
        <f>SUMIFS(Tabela1[Amount],Tabela1[Month],B$4,Tabela1[Category],$A8)</f>
        <v>0</v>
      </c>
      <c r="C8" s="73">
        <f>SUMIFS(Tabela1[Amount],Tabela1[Month],C$4,Tabela1[Category],$A8)</f>
        <v>0</v>
      </c>
      <c r="D8" s="73">
        <f>SUMIFS(Tabela1[Amount],Tabela1[Month],D$4,Tabela1[Category],$A8)</f>
        <v>0</v>
      </c>
      <c r="E8" s="73">
        <f>SUMIFS(Tabela1[Amount],Tabela1[Month],E$4,Tabela1[Category],$A8)</f>
        <v>0</v>
      </c>
      <c r="F8" s="73">
        <f>SUMIFS(Tabela1[Amount],Tabela1[Month],F$4,Tabela1[Category],$A8)</f>
        <v>0</v>
      </c>
      <c r="G8" s="73">
        <f>SUMIFS(Tabela1[Amount],Tabela1[Month],G$4,Tabela1[Category],$A8)</f>
        <v>0</v>
      </c>
      <c r="H8" s="73">
        <f>SUMIFS(Tabela1[Amount],Tabela1[Month],H$4,Tabela1[Category],$A8)</f>
        <v>0</v>
      </c>
      <c r="I8" s="73">
        <f>SUMIFS(Tabela1[Amount],Tabela1[Month],I$4,Tabela1[Category],$A8)</f>
        <v>0</v>
      </c>
      <c r="J8" s="73">
        <f>SUMIFS(Tabela1[Amount],Tabela1[Month],J$4,Tabela1[Category],$A8)</f>
        <v>0</v>
      </c>
      <c r="K8" s="73">
        <f>SUMIFS(Tabela1[Amount],Tabela1[Month],K$4,Tabela1[Category],$A8)</f>
        <v>0</v>
      </c>
      <c r="L8" s="73">
        <f>SUMIFS(Tabela1[Amount],Tabela1[Month],L$4,Tabela1[Category],$A8)</f>
        <v>0</v>
      </c>
      <c r="M8" s="73">
        <f>SUMIFS(Tabela1[Amount],Tabela1[Month],M$4,Tabela1[Category],$A8)</f>
        <v>0</v>
      </c>
    </row>
    <row r="9" spans="1:13" ht="18" customHeight="1" x14ac:dyDescent="0.3">
      <c r="A9" s="30" t="str">
        <v>Other - Income</v>
      </c>
      <c r="B9" s="73">
        <f>SUMIFS(Tabela1[Amount],Tabela1[Month],B$4,Tabela1[Category],$A9)</f>
        <v>0</v>
      </c>
      <c r="C9" s="73">
        <f>SUMIFS(Tabela1[Amount],Tabela1[Month],C$4,Tabela1[Category],$A9)</f>
        <v>0</v>
      </c>
      <c r="D9" s="73">
        <f>SUMIFS(Tabela1[Amount],Tabela1[Month],D$4,Tabela1[Category],$A9)</f>
        <v>0</v>
      </c>
      <c r="E9" s="73">
        <f>SUMIFS(Tabela1[Amount],Tabela1[Month],E$4,Tabela1[Category],$A9)</f>
        <v>0</v>
      </c>
      <c r="F9" s="73">
        <f>SUMIFS(Tabela1[Amount],Tabela1[Month],F$4,Tabela1[Category],$A9)</f>
        <v>0</v>
      </c>
      <c r="G9" s="73">
        <f>SUMIFS(Tabela1[Amount],Tabela1[Month],G$4,Tabela1[Category],$A9)</f>
        <v>0</v>
      </c>
      <c r="H9" s="73">
        <f>SUMIFS(Tabela1[Amount],Tabela1[Month],H$4,Tabela1[Category],$A9)</f>
        <v>0</v>
      </c>
      <c r="I9" s="73">
        <f>SUMIFS(Tabela1[Amount],Tabela1[Month],I$4,Tabela1[Category],$A9)</f>
        <v>0</v>
      </c>
      <c r="J9" s="73">
        <f>SUMIFS(Tabela1[Amount],Tabela1[Month],J$4,Tabela1[Category],$A9)</f>
        <v>0</v>
      </c>
      <c r="K9" s="73">
        <f>SUMIFS(Tabela1[Amount],Tabela1[Month],K$4,Tabela1[Category],$A9)</f>
        <v>0</v>
      </c>
      <c r="L9" s="73">
        <f>SUMIFS(Tabela1[Amount],Tabela1[Month],L$4,Tabela1[Category],$A9)</f>
        <v>0</v>
      </c>
      <c r="M9" s="73">
        <f>SUMIFS(Tabela1[Amount],Tabela1[Month],M$4,Tabela1[Category],$A9)</f>
        <v>0</v>
      </c>
    </row>
    <row r="10" spans="1:13" ht="17.850000000000001" customHeight="1" x14ac:dyDescent="0.3">
      <c r="A10" s="30" t="str">
        <v>Tax I</v>
      </c>
      <c r="B10" s="73">
        <f>SUMIFS(Tabela1[Amount],Tabela1[Month],B$4,Tabela1[Category],$A10)</f>
        <v>0</v>
      </c>
      <c r="C10" s="73">
        <f>SUMIFS(Tabela1[Amount],Tabela1[Month],C$4,Tabela1[Category],$A10)</f>
        <v>0</v>
      </c>
      <c r="D10" s="73">
        <f>SUMIFS(Tabela1[Amount],Tabela1[Month],D$4,Tabela1[Category],$A10)</f>
        <v>0</v>
      </c>
      <c r="E10" s="73">
        <f>SUMIFS(Tabela1[Amount],Tabela1[Month],E$4,Tabela1[Category],$A10)</f>
        <v>0</v>
      </c>
      <c r="F10" s="73">
        <f>SUMIFS(Tabela1[Amount],Tabela1[Month],F$4,Tabela1[Category],$A10)</f>
        <v>0</v>
      </c>
      <c r="G10" s="73">
        <f>SUMIFS(Tabela1[Amount],Tabela1[Month],G$4,Tabela1[Category],$A10)</f>
        <v>0</v>
      </c>
      <c r="H10" s="73">
        <f>SUMIFS(Tabela1[Amount],Tabela1[Month],H$4,Tabela1[Category],$A10)</f>
        <v>0</v>
      </c>
      <c r="I10" s="73">
        <f>SUMIFS(Tabela1[Amount],Tabela1[Month],I$4,Tabela1[Category],$A10)</f>
        <v>0</v>
      </c>
      <c r="J10" s="73">
        <f>SUMIFS(Tabela1[Amount],Tabela1[Month],J$4,Tabela1[Category],$A10)</f>
        <v>0</v>
      </c>
      <c r="K10" s="73">
        <f>SUMIFS(Tabela1[Amount],Tabela1[Month],K$4,Tabela1[Category],$A10)</f>
        <v>0</v>
      </c>
      <c r="L10" s="73">
        <f>SUMIFS(Tabela1[Amount],Tabela1[Month],L$4,Tabela1[Category],$A10)</f>
        <v>0</v>
      </c>
      <c r="M10" s="73">
        <f>SUMIFS(Tabela1[Amount],Tabela1[Month],M$4,Tabela1[Category],$A10)</f>
        <v>0</v>
      </c>
    </row>
    <row r="11" spans="1:13" ht="18" customHeight="1" x14ac:dyDescent="0.3">
      <c r="A11" s="30" t="str">
        <v>Tax II</v>
      </c>
      <c r="B11" s="73">
        <f>SUMIFS(Tabela1[Amount],Tabela1[Month],B$4,Tabela1[Category],$A11)</f>
        <v>0</v>
      </c>
      <c r="C11" s="73">
        <f>SUMIFS(Tabela1[Amount],Tabela1[Month],C$4,Tabela1[Category],$A11)</f>
        <v>0</v>
      </c>
      <c r="D11" s="73">
        <f>SUMIFS(Tabela1[Amount],Tabela1[Month],D$4,Tabela1[Category],$A11)</f>
        <v>0</v>
      </c>
      <c r="E11" s="73">
        <f>SUMIFS(Tabela1[Amount],Tabela1[Month],E$4,Tabela1[Category],$A11)</f>
        <v>0</v>
      </c>
      <c r="F11" s="73">
        <f>SUMIFS(Tabela1[Amount],Tabela1[Month],F$4,Tabela1[Category],$A11)</f>
        <v>0</v>
      </c>
      <c r="G11" s="73">
        <f>SUMIFS(Tabela1[Amount],Tabela1[Month],G$4,Tabela1[Category],$A11)</f>
        <v>0</v>
      </c>
      <c r="H11" s="73">
        <f>SUMIFS(Tabela1[Amount],Tabela1[Month],H$4,Tabela1[Category],$A11)</f>
        <v>0</v>
      </c>
      <c r="I11" s="73">
        <f>SUMIFS(Tabela1[Amount],Tabela1[Month],I$4,Tabela1[Category],$A11)</f>
        <v>0</v>
      </c>
      <c r="J11" s="73">
        <f>SUMIFS(Tabela1[Amount],Tabela1[Month],J$4,Tabela1[Category],$A11)</f>
        <v>0</v>
      </c>
      <c r="K11" s="73">
        <f>SUMIFS(Tabela1[Amount],Tabela1[Month],K$4,Tabela1[Category],$A11)</f>
        <v>0</v>
      </c>
      <c r="L11" s="73">
        <f>SUMIFS(Tabela1[Amount],Tabela1[Month],L$4,Tabela1[Category],$A11)</f>
        <v>0</v>
      </c>
      <c r="M11" s="73">
        <f>SUMIFS(Tabela1[Amount],Tabela1[Month],M$4,Tabela1[Category],$A11)</f>
        <v>0</v>
      </c>
    </row>
    <row r="12" spans="1:13" ht="17.850000000000001" customHeight="1" x14ac:dyDescent="0.3">
      <c r="A12" s="30" t="str">
        <v>Bank Fee I</v>
      </c>
      <c r="B12" s="73">
        <f>SUMIFS(Tabela1[Amount],Tabela1[Month],B$4,Tabela1[Category],$A12)</f>
        <v>0</v>
      </c>
      <c r="C12" s="73">
        <f>SUMIFS(Tabela1[Amount],Tabela1[Month],C$4,Tabela1[Category],$A12)</f>
        <v>0</v>
      </c>
      <c r="D12" s="73">
        <f>SUMIFS(Tabela1[Amount],Tabela1[Month],D$4,Tabela1[Category],$A12)</f>
        <v>0</v>
      </c>
      <c r="E12" s="73">
        <f>SUMIFS(Tabela1[Amount],Tabela1[Month],E$4,Tabela1[Category],$A12)</f>
        <v>0</v>
      </c>
      <c r="F12" s="73">
        <f>SUMIFS(Tabela1[Amount],Tabela1[Month],F$4,Tabela1[Category],$A12)</f>
        <v>0</v>
      </c>
      <c r="G12" s="73">
        <f>SUMIFS(Tabela1[Amount],Tabela1[Month],G$4,Tabela1[Category],$A12)</f>
        <v>0</v>
      </c>
      <c r="H12" s="73">
        <f>SUMIFS(Tabela1[Amount],Tabela1[Month],H$4,Tabela1[Category],$A12)</f>
        <v>0</v>
      </c>
      <c r="I12" s="73">
        <f>SUMIFS(Tabela1[Amount],Tabela1[Month],I$4,Tabela1[Category],$A12)</f>
        <v>0</v>
      </c>
      <c r="J12" s="73">
        <f>SUMIFS(Tabela1[Amount],Tabela1[Month],J$4,Tabela1[Category],$A12)</f>
        <v>0</v>
      </c>
      <c r="K12" s="73">
        <f>SUMIFS(Tabela1[Amount],Tabela1[Month],K$4,Tabela1[Category],$A12)</f>
        <v>0</v>
      </c>
      <c r="L12" s="73">
        <f>SUMIFS(Tabela1[Amount],Tabela1[Month],L$4,Tabela1[Category],$A12)</f>
        <v>0</v>
      </c>
      <c r="M12" s="73">
        <f>SUMIFS(Tabela1[Amount],Tabela1[Month],M$4,Tabela1[Category],$A12)</f>
        <v>0</v>
      </c>
    </row>
    <row r="13" spans="1:13" ht="17.850000000000001" customHeight="1" x14ac:dyDescent="0.3">
      <c r="A13" s="30" t="str">
        <v>Bank Fee II</v>
      </c>
      <c r="B13" s="73">
        <f>SUMIFS(Tabela1[Amount],Tabela1[Month],B$4,Tabela1[Category],$A13)</f>
        <v>0</v>
      </c>
      <c r="C13" s="73">
        <f>SUMIFS(Tabela1[Amount],Tabela1[Month],C$4,Tabela1[Category],$A13)</f>
        <v>0</v>
      </c>
      <c r="D13" s="73">
        <f>SUMIFS(Tabela1[Amount],Tabela1[Month],D$4,Tabela1[Category],$A13)</f>
        <v>0</v>
      </c>
      <c r="E13" s="73">
        <f>SUMIFS(Tabela1[Amount],Tabela1[Month],E$4,Tabela1[Category],$A13)</f>
        <v>0</v>
      </c>
      <c r="F13" s="73">
        <f>SUMIFS(Tabela1[Amount],Tabela1[Month],F$4,Tabela1[Category],$A13)</f>
        <v>0</v>
      </c>
      <c r="G13" s="73">
        <f>SUMIFS(Tabela1[Amount],Tabela1[Month],G$4,Tabela1[Category],$A13)</f>
        <v>0</v>
      </c>
      <c r="H13" s="73">
        <f>SUMIFS(Tabela1[Amount],Tabela1[Month],H$4,Tabela1[Category],$A13)</f>
        <v>0</v>
      </c>
      <c r="I13" s="73">
        <f>SUMIFS(Tabela1[Amount],Tabela1[Month],I$4,Tabela1[Category],$A13)</f>
        <v>0</v>
      </c>
      <c r="J13" s="73">
        <f>SUMIFS(Tabela1[Amount],Tabela1[Month],J$4,Tabela1[Category],$A13)</f>
        <v>0</v>
      </c>
      <c r="K13" s="73">
        <f>SUMIFS(Tabela1[Amount],Tabela1[Month],K$4,Tabela1[Category],$A13)</f>
        <v>0</v>
      </c>
      <c r="L13" s="73">
        <f>SUMIFS(Tabela1[Amount],Tabela1[Month],L$4,Tabela1[Category],$A13)</f>
        <v>0</v>
      </c>
      <c r="M13" s="73">
        <f>SUMIFS(Tabela1[Amount],Tabela1[Month],M$4,Tabela1[Category],$A13)</f>
        <v>0</v>
      </c>
    </row>
    <row r="14" spans="1:13" ht="18" customHeight="1" x14ac:dyDescent="0.3">
      <c r="A14" s="30" t="str">
        <v>Other - Discount</v>
      </c>
      <c r="B14" s="73">
        <f>SUMIFS(Tabela1[Amount],Tabela1[Month],B$4,Tabela1[Category],$A14)</f>
        <v>0</v>
      </c>
      <c r="C14" s="73">
        <f>SUMIFS(Tabela1[Amount],Tabela1[Month],C$4,Tabela1[Category],$A14)</f>
        <v>0</v>
      </c>
      <c r="D14" s="73">
        <f>SUMIFS(Tabela1[Amount],Tabela1[Month],D$4,Tabela1[Category],$A14)</f>
        <v>0</v>
      </c>
      <c r="E14" s="73">
        <f>SUMIFS(Tabela1[Amount],Tabela1[Month],E$4,Tabela1[Category],$A14)</f>
        <v>0</v>
      </c>
      <c r="F14" s="73">
        <f>SUMIFS(Tabela1[Amount],Tabela1[Month],F$4,Tabela1[Category],$A14)</f>
        <v>0</v>
      </c>
      <c r="G14" s="73">
        <f>SUMIFS(Tabela1[Amount],Tabela1[Month],G$4,Tabela1[Category],$A14)</f>
        <v>0</v>
      </c>
      <c r="H14" s="73">
        <f>SUMIFS(Tabela1[Amount],Tabela1[Month],H$4,Tabela1[Category],$A14)</f>
        <v>0</v>
      </c>
      <c r="I14" s="73">
        <f>SUMIFS(Tabela1[Amount],Tabela1[Month],I$4,Tabela1[Category],$A14)</f>
        <v>0</v>
      </c>
      <c r="J14" s="73">
        <f>SUMIFS(Tabela1[Amount],Tabela1[Month],J$4,Tabela1[Category],$A14)</f>
        <v>0</v>
      </c>
      <c r="K14" s="73">
        <f>SUMIFS(Tabela1[Amount],Tabela1[Month],K$4,Tabela1[Category],$A14)</f>
        <v>0</v>
      </c>
      <c r="L14" s="73">
        <f>SUMIFS(Tabela1[Amount],Tabela1[Month],L$4,Tabela1[Category],$A14)</f>
        <v>0</v>
      </c>
      <c r="M14" s="73">
        <f>SUMIFS(Tabela1[Amount],Tabela1[Month],M$4,Tabela1[Category],$A14)</f>
        <v>0</v>
      </c>
    </row>
    <row r="15" spans="1:13" ht="18" customHeight="1" x14ac:dyDescent="0.3">
      <c r="A15" s="30" t="str">
        <v>Stock Market</v>
      </c>
      <c r="B15" s="73">
        <f>SUMIFS(Tabela1[Amount],Tabela1[Month],B$4,Tabela1[Category],$A15)</f>
        <v>0</v>
      </c>
      <c r="C15" s="73">
        <f>SUMIFS(Tabela1[Amount],Tabela1[Month],C$4,Tabela1[Category],$A15)</f>
        <v>0</v>
      </c>
      <c r="D15" s="73">
        <f>SUMIFS(Tabela1[Amount],Tabela1[Month],D$4,Tabela1[Category],$A15)</f>
        <v>0</v>
      </c>
      <c r="E15" s="73">
        <f>SUMIFS(Tabela1[Amount],Tabela1[Month],E$4,Tabela1[Category],$A15)</f>
        <v>0</v>
      </c>
      <c r="F15" s="73">
        <f>SUMIFS(Tabela1[Amount],Tabela1[Month],F$4,Tabela1[Category],$A15)</f>
        <v>0</v>
      </c>
      <c r="G15" s="73">
        <f>SUMIFS(Tabela1[Amount],Tabela1[Month],G$4,Tabela1[Category],$A15)</f>
        <v>0</v>
      </c>
      <c r="H15" s="73">
        <f>SUMIFS(Tabela1[Amount],Tabela1[Month],H$4,Tabela1[Category],$A15)</f>
        <v>0</v>
      </c>
      <c r="I15" s="73">
        <f>SUMIFS(Tabela1[Amount],Tabela1[Month],I$4,Tabela1[Category],$A15)</f>
        <v>0</v>
      </c>
      <c r="J15" s="73">
        <f>SUMIFS(Tabela1[Amount],Tabela1[Month],J$4,Tabela1[Category],$A15)</f>
        <v>0</v>
      </c>
      <c r="K15" s="73">
        <f>SUMIFS(Tabela1[Amount],Tabela1[Month],K$4,Tabela1[Category],$A15)</f>
        <v>0</v>
      </c>
      <c r="L15" s="73">
        <f>SUMIFS(Tabela1[Amount],Tabela1[Month],L$4,Tabela1[Category],$A15)</f>
        <v>0</v>
      </c>
      <c r="M15" s="73">
        <f>SUMIFS(Tabela1[Amount],Tabela1[Month],M$4,Tabela1[Category],$A15)</f>
        <v>0</v>
      </c>
    </row>
    <row r="16" spans="1:13" ht="18" customHeight="1" x14ac:dyDescent="0.3">
      <c r="A16" s="30" t="str">
        <v>Real Estate</v>
      </c>
      <c r="B16" s="73">
        <f>SUMIFS(Tabela1[Amount],Tabela1[Month],B$4,Tabela1[Category],$A16)</f>
        <v>0</v>
      </c>
      <c r="C16" s="73">
        <f>SUMIFS(Tabela1[Amount],Tabela1[Month],C$4,Tabela1[Category],$A16)</f>
        <v>0</v>
      </c>
      <c r="D16" s="73">
        <f>SUMIFS(Tabela1[Amount],Tabela1[Month],D$4,Tabela1[Category],$A16)</f>
        <v>0</v>
      </c>
      <c r="E16" s="73">
        <f>SUMIFS(Tabela1[Amount],Tabela1[Month],E$4,Tabela1[Category],$A16)</f>
        <v>0</v>
      </c>
      <c r="F16" s="73">
        <f>SUMIFS(Tabela1[Amount],Tabela1[Month],F$4,Tabela1[Category],$A16)</f>
        <v>0</v>
      </c>
      <c r="G16" s="73">
        <f>SUMIFS(Tabela1[Amount],Tabela1[Month],G$4,Tabela1[Category],$A16)</f>
        <v>0</v>
      </c>
      <c r="H16" s="73">
        <f>SUMIFS(Tabela1[Amount],Tabela1[Month],H$4,Tabela1[Category],$A16)</f>
        <v>0</v>
      </c>
      <c r="I16" s="73">
        <f>SUMIFS(Tabela1[Amount],Tabela1[Month],I$4,Tabela1[Category],$A16)</f>
        <v>0</v>
      </c>
      <c r="J16" s="73">
        <f>SUMIFS(Tabela1[Amount],Tabela1[Month],J$4,Tabela1[Category],$A16)</f>
        <v>0</v>
      </c>
      <c r="K16" s="73">
        <f>SUMIFS(Tabela1[Amount],Tabela1[Month],K$4,Tabela1[Category],$A16)</f>
        <v>0</v>
      </c>
      <c r="L16" s="73">
        <f>SUMIFS(Tabela1[Amount],Tabela1[Month],L$4,Tabela1[Category],$A16)</f>
        <v>0</v>
      </c>
      <c r="M16" s="73">
        <f>SUMIFS(Tabela1[Amount],Tabela1[Month],M$4,Tabela1[Category],$A16)</f>
        <v>0</v>
      </c>
    </row>
    <row r="17" spans="1:13" ht="14.3" customHeight="1" x14ac:dyDescent="0.3"/>
    <row r="18" spans="1:13" ht="17.850000000000001" customHeight="1" x14ac:dyDescent="0.3">
      <c r="A18" s="28" t="s">
        <v>0</v>
      </c>
      <c r="B18" s="36">
        <f>ROUND(SUM(B5:B9)-SUM(B10:B16),2)+B2</f>
        <v>0</v>
      </c>
      <c r="C18" s="36">
        <f t="shared" ref="C18:M18" si="0">ROUND(SUM(C5:C9)-SUM(C10:C16),2)</f>
        <v>0</v>
      </c>
      <c r="D18" s="36">
        <f t="shared" si="0"/>
        <v>0</v>
      </c>
      <c r="E18" s="36">
        <f t="shared" si="0"/>
        <v>0</v>
      </c>
      <c r="F18" s="36">
        <f t="shared" si="0"/>
        <v>0</v>
      </c>
      <c r="G18" s="36">
        <f t="shared" si="0"/>
        <v>0</v>
      </c>
      <c r="H18" s="36">
        <f t="shared" si="0"/>
        <v>0</v>
      </c>
      <c r="I18" s="36">
        <f t="shared" si="0"/>
        <v>0</v>
      </c>
      <c r="J18" s="36">
        <f t="shared" si="0"/>
        <v>0</v>
      </c>
      <c r="K18" s="36">
        <f t="shared" si="0"/>
        <v>0</v>
      </c>
      <c r="L18" s="36">
        <f t="shared" si="0"/>
        <v>0</v>
      </c>
      <c r="M18" s="36">
        <f t="shared" si="0"/>
        <v>0</v>
      </c>
    </row>
    <row r="20" spans="1:13" ht="18.55" hidden="1" customHeight="1" x14ac:dyDescent="0.3">
      <c r="A20" s="30" t="str">
        <f>A12</f>
        <v>Bank Fee I</v>
      </c>
      <c r="B20" s="1">
        <f>ROUND(IF((SUM(B5:B9) - SUM(B10:B11,B13:B14)) &gt; 10, (SUM(B5:B9) - SUM(B10:B11,B13:B14))*0.1, )-B12,2)</f>
        <v>0</v>
      </c>
      <c r="C20" s="1">
        <f t="shared" ref="C20:L20" si="1">ROUND(IF((SUM(C5:C9) - SUM(C10:C11,C13:C14)) &gt; 10, (SUM(C5:C9) - SUM(C10:C11,C13:C14))*0.1, )-C12,2)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0</v>
      </c>
      <c r="I20" s="1">
        <f t="shared" si="1"/>
        <v>0</v>
      </c>
      <c r="J20" s="1">
        <f t="shared" si="1"/>
        <v>0</v>
      </c>
      <c r="K20" s="1">
        <f t="shared" si="1"/>
        <v>0</v>
      </c>
      <c r="L20" s="1">
        <f t="shared" si="1"/>
        <v>0</v>
      </c>
      <c r="M20" s="1">
        <f>ROUND(IF((SUM(M5:M9) - SUM(M10:M11,M13:M14)) &gt; 10, (SUM(M5:M9) - SUM(M10:M11,M13:M14))*0.1, )-M12,2)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20" zoomScaleNormal="12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72" t="s">
        <v>30</v>
      </c>
      <c r="B3" s="73">
        <f>'Net Salary'!B18</f>
        <v>0</v>
      </c>
      <c r="C3" s="73">
        <f>'Net Salary'!C18</f>
        <v>0</v>
      </c>
      <c r="D3" s="73">
        <f>'Net Salary'!D18</f>
        <v>0</v>
      </c>
      <c r="E3" s="73">
        <f>'Net Salary'!E18</f>
        <v>0</v>
      </c>
      <c r="F3" s="73">
        <f>'Net Salary'!F18</f>
        <v>0</v>
      </c>
      <c r="G3" s="73">
        <f>'Net Salary'!G18</f>
        <v>0</v>
      </c>
      <c r="H3" s="73">
        <f>'Net Salary'!H18</f>
        <v>0</v>
      </c>
      <c r="I3" s="73">
        <f>'Net Salary'!I18</f>
        <v>0</v>
      </c>
      <c r="J3" s="73">
        <f>'Net Salary'!J18</f>
        <v>0</v>
      </c>
      <c r="K3" s="73">
        <f>'Net Salary'!K18</f>
        <v>0</v>
      </c>
      <c r="L3" s="73">
        <f>'Net Salary'!L18</f>
        <v>0</v>
      </c>
      <c r="M3" s="73">
        <f>'Net Salary'!M18</f>
        <v>0</v>
      </c>
    </row>
    <row r="4" spans="1:13" ht="15" customHeight="1" x14ac:dyDescent="0.3">
      <c r="A4" s="72" t="s">
        <v>22</v>
      </c>
      <c r="B4" s="74">
        <f>B3-(SUM(B7:B18))</f>
        <v>0</v>
      </c>
      <c r="C4" s="74">
        <f t="shared" ref="C4:L4" si="0">C3-(SUM(C7:C18))+B4</f>
        <v>0</v>
      </c>
      <c r="D4" s="74">
        <f t="shared" si="0"/>
        <v>0</v>
      </c>
      <c r="E4" s="74">
        <f t="shared" si="0"/>
        <v>0</v>
      </c>
      <c r="F4" s="74">
        <f t="shared" si="0"/>
        <v>0</v>
      </c>
      <c r="G4" s="74">
        <f t="shared" si="0"/>
        <v>0</v>
      </c>
      <c r="H4" s="74">
        <f t="shared" si="0"/>
        <v>0</v>
      </c>
      <c r="I4" s="74">
        <f t="shared" si="0"/>
        <v>0</v>
      </c>
      <c r="J4" s="74">
        <f t="shared" si="0"/>
        <v>0</v>
      </c>
      <c r="K4" s="74">
        <f t="shared" si="0"/>
        <v>0</v>
      </c>
      <c r="L4" s="74">
        <f t="shared" si="0"/>
        <v>0</v>
      </c>
      <c r="M4" s="74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29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3">
        <f>SUMIFS(Tabela1[Amount],Tabela1[Month],Expenses!B$2,Tabela1[Category],Expenses!$A7)</f>
        <v>0</v>
      </c>
      <c r="C7" s="73">
        <f>SUMIFS(Tabela1[Amount],Tabela1[Month],Expenses!C$2,Tabela1[Category],Expenses!$A7)</f>
        <v>0</v>
      </c>
      <c r="D7" s="73">
        <f>SUMIFS(Tabela1[Amount],Tabela1[Month],Expenses!D$2,Tabela1[Category],Expenses!$A7)</f>
        <v>0</v>
      </c>
      <c r="E7" s="73">
        <f>SUMIFS(Tabela1[Amount],Tabela1[Month],Expenses!E$2,Tabela1[Category],Expenses!$A7)</f>
        <v>0</v>
      </c>
      <c r="F7" s="73">
        <f>SUMIFS(Tabela1[Amount],Tabela1[Month],Expenses!F$2,Tabela1[Category],Expenses!$A7)</f>
        <v>0</v>
      </c>
      <c r="G7" s="73">
        <f>SUMIFS(Tabela1[Amount],Tabela1[Month],Expenses!G$2,Tabela1[Category],Expenses!$A7)</f>
        <v>0</v>
      </c>
      <c r="H7" s="73">
        <f>SUMIFS(Tabela1[Amount],Tabela1[Month],Expenses!H$2,Tabela1[Category],Expenses!$A7)</f>
        <v>0</v>
      </c>
      <c r="I7" s="73">
        <f>SUMIFS(Tabela1[Amount],Tabela1[Month],Expenses!I$2,Tabela1[Category],Expenses!$A7)</f>
        <v>0</v>
      </c>
      <c r="J7" s="73">
        <f>SUMIFS(Tabela1[Amount],Tabela1[Month],Expenses!J$2,Tabela1[Category],Expenses!$A7)</f>
        <v>0</v>
      </c>
      <c r="K7" s="73">
        <f>SUMIFS(Tabela1[Amount],Tabela1[Month],Expenses!K$2,Tabela1[Category],Expenses!$A7)</f>
        <v>0</v>
      </c>
      <c r="L7" s="73">
        <f>SUMIFS(Tabela1[Amount],Tabela1[Month],Expenses!L$2,Tabela1[Category],Expenses!$A7)</f>
        <v>0</v>
      </c>
      <c r="M7" s="73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3">
        <f>SUMIFS(Tabela1[Amount],Tabela1[Month],Expenses!B$2,Tabela1[Category],Expenses!$A8)</f>
        <v>0</v>
      </c>
      <c r="C8" s="73">
        <f>SUMIFS(Tabela1[Amount],Tabela1[Month],Expenses!C$2,Tabela1[Category],Expenses!$A8)</f>
        <v>0</v>
      </c>
      <c r="D8" s="73">
        <f>SUMIFS(Tabela1[Amount],Tabela1[Month],Expenses!D$2,Tabela1[Category],Expenses!$A8)</f>
        <v>0</v>
      </c>
      <c r="E8" s="73">
        <f>SUMIFS(Tabela1[Amount],Tabela1[Month],Expenses!E$2,Tabela1[Category],Expenses!$A8)</f>
        <v>0</v>
      </c>
      <c r="F8" s="73">
        <f>SUMIFS(Tabela1[Amount],Tabela1[Month],Expenses!F$2,Tabela1[Category],Expenses!$A8)</f>
        <v>0</v>
      </c>
      <c r="G8" s="73">
        <f>SUMIFS(Tabela1[Amount],Tabela1[Month],Expenses!G$2,Tabela1[Category],Expenses!$A8)</f>
        <v>0</v>
      </c>
      <c r="H8" s="73">
        <f>SUMIFS(Tabela1[Amount],Tabela1[Month],Expenses!H$2,Tabela1[Category],Expenses!$A8)</f>
        <v>0</v>
      </c>
      <c r="I8" s="73">
        <f>SUMIFS(Tabela1[Amount],Tabela1[Month],Expenses!I$2,Tabela1[Category],Expenses!$A8)</f>
        <v>0</v>
      </c>
      <c r="J8" s="73">
        <f>SUMIFS(Tabela1[Amount],Tabela1[Month],Expenses!J$2,Tabela1[Category],Expenses!$A8)</f>
        <v>0</v>
      </c>
      <c r="K8" s="73">
        <f>SUMIFS(Tabela1[Amount],Tabela1[Month],Expenses!K$2,Tabela1[Category],Expenses!$A8)</f>
        <v>0</v>
      </c>
      <c r="L8" s="73">
        <f>SUMIFS(Tabela1[Amount],Tabela1[Month],Expenses!L$2,Tabela1[Category],Expenses!$A8)</f>
        <v>0</v>
      </c>
      <c r="M8" s="73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3">
        <f>SUMIFS(Tabela1[Amount],Tabela1[Month],Expenses!B$2,Tabela1[Category],Expenses!$A9)</f>
        <v>0</v>
      </c>
      <c r="C9" s="73">
        <f>SUMIFS(Tabela1[Amount],Tabela1[Month],Expenses!C$2,Tabela1[Category],Expenses!$A9)</f>
        <v>0</v>
      </c>
      <c r="D9" s="73">
        <f>SUMIFS(Tabela1[Amount],Tabela1[Month],Expenses!D$2,Tabela1[Category],Expenses!$A9)</f>
        <v>0</v>
      </c>
      <c r="E9" s="73">
        <f>SUMIFS(Tabela1[Amount],Tabela1[Month],Expenses!E$2,Tabela1[Category],Expenses!$A9)</f>
        <v>0</v>
      </c>
      <c r="F9" s="73">
        <f>SUMIFS(Tabela1[Amount],Tabela1[Month],Expenses!F$2,Tabela1[Category],Expenses!$A9)</f>
        <v>0</v>
      </c>
      <c r="G9" s="73">
        <f>SUMIFS(Tabela1[Amount],Tabela1[Month],Expenses!G$2,Tabela1[Category],Expenses!$A9)</f>
        <v>0</v>
      </c>
      <c r="H9" s="73">
        <f>SUMIFS(Tabela1[Amount],Tabela1[Month],Expenses!H$2,Tabela1[Category],Expenses!$A9)</f>
        <v>0</v>
      </c>
      <c r="I9" s="73">
        <f>SUMIFS(Tabela1[Amount],Tabela1[Month],Expenses!I$2,Tabela1[Category],Expenses!$A9)</f>
        <v>0</v>
      </c>
      <c r="J9" s="73">
        <f>SUMIFS(Tabela1[Amount],Tabela1[Month],Expenses!J$2,Tabela1[Category],Expenses!$A9)</f>
        <v>0</v>
      </c>
      <c r="K9" s="73">
        <f>SUMIFS(Tabela1[Amount],Tabela1[Month],Expenses!K$2,Tabela1[Category],Expenses!$A9)</f>
        <v>0</v>
      </c>
      <c r="L9" s="73">
        <f>SUMIFS(Tabela1[Amount],Tabela1[Month],Expenses!L$2,Tabela1[Category],Expenses!$A9)</f>
        <v>0</v>
      </c>
      <c r="M9" s="73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3">
        <f>SUMIFS(Tabela1[Amount],Tabela1[Month],Expenses!B$2,Tabela1[Category],Expenses!$A10)</f>
        <v>0</v>
      </c>
      <c r="C10" s="73">
        <f>SUMIFS(Tabela1[Amount],Tabela1[Month],Expenses!C$2,Tabela1[Category],Expenses!$A10)</f>
        <v>0</v>
      </c>
      <c r="D10" s="73">
        <f>SUMIFS(Tabela1[Amount],Tabela1[Month],Expenses!D$2,Tabela1[Category],Expenses!$A10)</f>
        <v>0</v>
      </c>
      <c r="E10" s="73">
        <f>SUMIFS(Tabela1[Amount],Tabela1[Month],Expenses!E$2,Tabela1[Category],Expenses!$A10)</f>
        <v>0</v>
      </c>
      <c r="F10" s="73">
        <f>SUMIFS(Tabela1[Amount],Tabela1[Month],Expenses!F$2,Tabela1[Category],Expenses!$A10)</f>
        <v>0</v>
      </c>
      <c r="G10" s="73">
        <f>SUMIFS(Tabela1[Amount],Tabela1[Month],Expenses!G$2,Tabela1[Category],Expenses!$A10)</f>
        <v>0</v>
      </c>
      <c r="H10" s="73">
        <f>SUMIFS(Tabela1[Amount],Tabela1[Month],Expenses!H$2,Tabela1[Category],Expenses!$A10)</f>
        <v>0</v>
      </c>
      <c r="I10" s="73">
        <f>SUMIFS(Tabela1[Amount],Tabela1[Month],Expenses!I$2,Tabela1[Category],Expenses!$A10)</f>
        <v>0</v>
      </c>
      <c r="J10" s="73">
        <f>SUMIFS(Tabela1[Amount],Tabela1[Month],Expenses!J$2,Tabela1[Category],Expenses!$A10)</f>
        <v>0</v>
      </c>
      <c r="K10" s="73">
        <f>SUMIFS(Tabela1[Amount],Tabela1[Month],Expenses!K$2,Tabela1[Category],Expenses!$A10)</f>
        <v>0</v>
      </c>
      <c r="L10" s="73">
        <f>SUMIFS(Tabela1[Amount],Tabela1[Month],Expenses!L$2,Tabela1[Category],Expenses!$A10)</f>
        <v>0</v>
      </c>
      <c r="M10" s="73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3">
        <f>SUMIFS(Tabela1[Amount],Tabela1[Month],Expenses!B$2,Tabela1[Category],Expenses!$A11)</f>
        <v>0</v>
      </c>
      <c r="C11" s="73">
        <f>SUMIFS(Tabela1[Amount],Tabela1[Month],Expenses!C$2,Tabela1[Category],Expenses!$A11)</f>
        <v>0</v>
      </c>
      <c r="D11" s="73">
        <f>SUMIFS(Tabela1[Amount],Tabela1[Month],Expenses!D$2,Tabela1[Category],Expenses!$A11)</f>
        <v>0</v>
      </c>
      <c r="E11" s="73">
        <f>SUMIFS(Tabela1[Amount],Tabela1[Month],Expenses!E$2,Tabela1[Category],Expenses!$A11)</f>
        <v>0</v>
      </c>
      <c r="F11" s="73">
        <f>SUMIFS(Tabela1[Amount],Tabela1[Month],Expenses!F$2,Tabela1[Category],Expenses!$A11)</f>
        <v>0</v>
      </c>
      <c r="G11" s="73">
        <f>SUMIFS(Tabela1[Amount],Tabela1[Month],Expenses!G$2,Tabela1[Category],Expenses!$A11)</f>
        <v>0</v>
      </c>
      <c r="H11" s="73">
        <f>SUMIFS(Tabela1[Amount],Tabela1[Month],Expenses!H$2,Tabela1[Category],Expenses!$A11)</f>
        <v>0</v>
      </c>
      <c r="I11" s="73">
        <f>SUMIFS(Tabela1[Amount],Tabela1[Month],Expenses!I$2,Tabela1[Category],Expenses!$A11)</f>
        <v>0</v>
      </c>
      <c r="J11" s="73">
        <f>SUMIFS(Tabela1[Amount],Tabela1[Month],Expenses!J$2,Tabela1[Category],Expenses!$A11)</f>
        <v>0</v>
      </c>
      <c r="K11" s="73">
        <f>SUMIFS(Tabela1[Amount],Tabela1[Month],Expenses!K$2,Tabela1[Category],Expenses!$A11)</f>
        <v>0</v>
      </c>
      <c r="L11" s="73">
        <f>SUMIFS(Tabela1[Amount],Tabela1[Month],Expenses!L$2,Tabela1[Category],Expenses!$A11)</f>
        <v>0</v>
      </c>
      <c r="M11" s="73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3">
        <f>SUMIFS(Tabela1[Amount],Tabela1[Month],Expenses!B$2,Tabela1[Category],Expenses!$A12)</f>
        <v>0</v>
      </c>
      <c r="C12" s="73">
        <f>SUMIFS(Tabela1[Amount],Tabela1[Month],Expenses!C$2,Tabela1[Category],Expenses!$A12)</f>
        <v>0</v>
      </c>
      <c r="D12" s="73">
        <f>SUMIFS(Tabela1[Amount],Tabela1[Month],Expenses!D$2,Tabela1[Category],Expenses!$A12)</f>
        <v>0</v>
      </c>
      <c r="E12" s="73">
        <f>SUMIFS(Tabela1[Amount],Tabela1[Month],Expenses!E$2,Tabela1[Category],Expenses!$A12)</f>
        <v>0</v>
      </c>
      <c r="F12" s="73">
        <f>SUMIFS(Tabela1[Amount],Tabela1[Month],Expenses!F$2,Tabela1[Category],Expenses!$A12)</f>
        <v>0</v>
      </c>
      <c r="G12" s="73">
        <f>SUMIFS(Tabela1[Amount],Tabela1[Month],Expenses!G$2,Tabela1[Category],Expenses!$A12)</f>
        <v>0</v>
      </c>
      <c r="H12" s="73">
        <f>SUMIFS(Tabela1[Amount],Tabela1[Month],Expenses!H$2,Tabela1[Category],Expenses!$A12)</f>
        <v>0</v>
      </c>
      <c r="I12" s="73">
        <f>SUMIFS(Tabela1[Amount],Tabela1[Month],Expenses!I$2,Tabela1[Category],Expenses!$A12)</f>
        <v>0</v>
      </c>
      <c r="J12" s="73">
        <f>SUMIFS(Tabela1[Amount],Tabela1[Month],Expenses!J$2,Tabela1[Category],Expenses!$A12)</f>
        <v>0</v>
      </c>
      <c r="K12" s="73">
        <f>SUMIFS(Tabela1[Amount],Tabela1[Month],Expenses!K$2,Tabela1[Category],Expenses!$A12)</f>
        <v>0</v>
      </c>
      <c r="L12" s="73">
        <f>SUMIFS(Tabela1[Amount],Tabela1[Month],Expenses!L$2,Tabela1[Category],Expenses!$A12)</f>
        <v>0</v>
      </c>
      <c r="M12" s="73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3">
        <f>SUMIFS(Tabela1[Amount],Tabela1[Month],Expenses!B$2,Tabela1[Category],Expenses!$A13)</f>
        <v>0</v>
      </c>
      <c r="C13" s="73">
        <f>SUMIFS(Tabela1[Amount],Tabela1[Month],Expenses!C$2,Tabela1[Category],Expenses!$A13)</f>
        <v>0</v>
      </c>
      <c r="D13" s="73">
        <f>SUMIFS(Tabela1[Amount],Tabela1[Month],Expenses!D$2,Tabela1[Category],Expenses!$A13)</f>
        <v>0</v>
      </c>
      <c r="E13" s="73">
        <f>SUMIFS(Tabela1[Amount],Tabela1[Month],Expenses!E$2,Tabela1[Category],Expenses!$A13)</f>
        <v>0</v>
      </c>
      <c r="F13" s="73">
        <f>SUMIFS(Tabela1[Amount],Tabela1[Month],Expenses!F$2,Tabela1[Category],Expenses!$A13)</f>
        <v>0</v>
      </c>
      <c r="G13" s="73">
        <f>SUMIFS(Tabela1[Amount],Tabela1[Month],Expenses!G$2,Tabela1[Category],Expenses!$A13)</f>
        <v>0</v>
      </c>
      <c r="H13" s="73">
        <f>SUMIFS(Tabela1[Amount],Tabela1[Month],Expenses!H$2,Tabela1[Category],Expenses!$A13)</f>
        <v>0</v>
      </c>
      <c r="I13" s="73">
        <f>SUMIFS(Tabela1[Amount],Tabela1[Month],Expenses!I$2,Tabela1[Category],Expenses!$A13)</f>
        <v>0</v>
      </c>
      <c r="J13" s="73">
        <f>SUMIFS(Tabela1[Amount],Tabela1[Month],Expenses!J$2,Tabela1[Category],Expenses!$A13)</f>
        <v>0</v>
      </c>
      <c r="K13" s="73">
        <f>SUMIFS(Tabela1[Amount],Tabela1[Month],Expenses!K$2,Tabela1[Category],Expenses!$A13)</f>
        <v>0</v>
      </c>
      <c r="L13" s="73">
        <f>SUMIFS(Tabela1[Amount],Tabela1[Month],Expenses!L$2,Tabela1[Category],Expenses!$A13)</f>
        <v>0</v>
      </c>
      <c r="M13" s="73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3">
        <f>SUMIFS(Tabela1[Amount],Tabela1[Month],Expenses!B$2,Tabela1[Category],Expenses!$A14)</f>
        <v>0</v>
      </c>
      <c r="C14" s="73">
        <f>SUMIFS(Tabela1[Amount],Tabela1[Month],Expenses!C$2,Tabela1[Category],Expenses!$A14)</f>
        <v>0</v>
      </c>
      <c r="D14" s="73">
        <f>SUMIFS(Tabela1[Amount],Tabela1[Month],Expenses!D$2,Tabela1[Category],Expenses!$A14)</f>
        <v>0</v>
      </c>
      <c r="E14" s="73">
        <f>SUMIFS(Tabela1[Amount],Tabela1[Month],Expenses!E$2,Tabela1[Category],Expenses!$A14)</f>
        <v>0</v>
      </c>
      <c r="F14" s="73">
        <f>SUMIFS(Tabela1[Amount],Tabela1[Month],Expenses!F$2,Tabela1[Category],Expenses!$A14)</f>
        <v>0</v>
      </c>
      <c r="G14" s="73">
        <f>SUMIFS(Tabela1[Amount],Tabela1[Month],Expenses!G$2,Tabela1[Category],Expenses!$A14)</f>
        <v>0</v>
      </c>
      <c r="H14" s="73">
        <f>SUMIFS(Tabela1[Amount],Tabela1[Month],Expenses!H$2,Tabela1[Category],Expenses!$A14)</f>
        <v>0</v>
      </c>
      <c r="I14" s="73">
        <f>SUMIFS(Tabela1[Amount],Tabela1[Month],Expenses!I$2,Tabela1[Category],Expenses!$A14)</f>
        <v>0</v>
      </c>
      <c r="J14" s="73">
        <f>SUMIFS(Tabela1[Amount],Tabela1[Month],Expenses!J$2,Tabela1[Category],Expenses!$A14)</f>
        <v>0</v>
      </c>
      <c r="K14" s="73">
        <f>SUMIFS(Tabela1[Amount],Tabela1[Month],Expenses!K$2,Tabela1[Category],Expenses!$A14)</f>
        <v>0</v>
      </c>
      <c r="L14" s="73">
        <f>SUMIFS(Tabela1[Amount],Tabela1[Month],Expenses!L$2,Tabela1[Category],Expenses!$A14)</f>
        <v>0</v>
      </c>
      <c r="M14" s="73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3">
        <f>SUMIFS(Tabela1[Amount],Tabela1[Month],Expenses!B$2,Tabela1[Category],Expenses!$A15)</f>
        <v>0</v>
      </c>
      <c r="C15" s="73">
        <f>SUMIFS(Tabela1[Amount],Tabela1[Month],Expenses!C$2,Tabela1[Category],Expenses!$A15)</f>
        <v>0</v>
      </c>
      <c r="D15" s="73">
        <f>SUMIFS(Tabela1[Amount],Tabela1[Month],Expenses!D$2,Tabela1[Category],Expenses!$A15)</f>
        <v>0</v>
      </c>
      <c r="E15" s="73">
        <f>SUMIFS(Tabela1[Amount],Tabela1[Month],Expenses!E$2,Tabela1[Category],Expenses!$A15)</f>
        <v>0</v>
      </c>
      <c r="F15" s="73">
        <f>SUMIFS(Tabela1[Amount],Tabela1[Month],Expenses!F$2,Tabela1[Category],Expenses!$A15)</f>
        <v>0</v>
      </c>
      <c r="G15" s="73">
        <f>SUMIFS(Tabela1[Amount],Tabela1[Month],Expenses!G$2,Tabela1[Category],Expenses!$A15)</f>
        <v>0</v>
      </c>
      <c r="H15" s="73">
        <f>SUMIFS(Tabela1[Amount],Tabela1[Month],Expenses!H$2,Tabela1[Category],Expenses!$A15)</f>
        <v>0</v>
      </c>
      <c r="I15" s="73">
        <f>SUMIFS(Tabela1[Amount],Tabela1[Month],Expenses!I$2,Tabela1[Category],Expenses!$A15)</f>
        <v>0</v>
      </c>
      <c r="J15" s="73">
        <f>SUMIFS(Tabela1[Amount],Tabela1[Month],Expenses!J$2,Tabela1[Category],Expenses!$A15)</f>
        <v>0</v>
      </c>
      <c r="K15" s="73">
        <f>SUMIFS(Tabela1[Amount],Tabela1[Month],Expenses!K$2,Tabela1[Category],Expenses!$A15)</f>
        <v>0</v>
      </c>
      <c r="L15" s="73">
        <f>SUMIFS(Tabela1[Amount],Tabela1[Month],Expenses!L$2,Tabela1[Category],Expenses!$A15)</f>
        <v>0</v>
      </c>
      <c r="M15" s="73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3">
        <f>SUMIFS(Tabela1[Amount],Tabela1[Month],Expenses!B$2,Tabela1[Category],Expenses!$A16)</f>
        <v>0</v>
      </c>
      <c r="C16" s="73">
        <f>SUMIFS(Tabela1[Amount],Tabela1[Month],Expenses!C$2,Tabela1[Category],Expenses!$A16)</f>
        <v>0</v>
      </c>
      <c r="D16" s="73">
        <f>SUMIFS(Tabela1[Amount],Tabela1[Month],Expenses!D$2,Tabela1[Category],Expenses!$A16)</f>
        <v>0</v>
      </c>
      <c r="E16" s="73">
        <f>SUMIFS(Tabela1[Amount],Tabela1[Month],Expenses!E$2,Tabela1[Category],Expenses!$A16)</f>
        <v>0</v>
      </c>
      <c r="F16" s="73">
        <f>SUMIFS(Tabela1[Amount],Tabela1[Month],Expenses!F$2,Tabela1[Category],Expenses!$A16)</f>
        <v>0</v>
      </c>
      <c r="G16" s="73">
        <f>SUMIFS(Tabela1[Amount],Tabela1[Month],Expenses!G$2,Tabela1[Category],Expenses!$A16)</f>
        <v>0</v>
      </c>
      <c r="H16" s="73">
        <f>SUMIFS(Tabela1[Amount],Tabela1[Month],Expenses!H$2,Tabela1[Category],Expenses!$A16)</f>
        <v>0</v>
      </c>
      <c r="I16" s="73">
        <f>SUMIFS(Tabela1[Amount],Tabela1[Month],Expenses!I$2,Tabela1[Category],Expenses!$A16)</f>
        <v>0</v>
      </c>
      <c r="J16" s="73">
        <f>SUMIFS(Tabela1[Amount],Tabela1[Month],Expenses!J$2,Tabela1[Category],Expenses!$A16)</f>
        <v>0</v>
      </c>
      <c r="K16" s="73">
        <f>SUMIFS(Tabela1[Amount],Tabela1[Month],Expenses!K$2,Tabela1[Category],Expenses!$A16)</f>
        <v>0</v>
      </c>
      <c r="L16" s="73">
        <f>SUMIFS(Tabela1[Amount],Tabela1[Month],Expenses!L$2,Tabela1[Category],Expenses!$A16)</f>
        <v>0</v>
      </c>
      <c r="M16" s="73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3">
        <f>SUMIFS(Tabela1[Amount],Tabela1[Month],Expenses!B$2,Tabela1[Category],Expenses!$A17)</f>
        <v>0</v>
      </c>
      <c r="C17" s="73">
        <f>SUMIFS(Tabela1[Amount],Tabela1[Month],Expenses!C$2,Tabela1[Category],Expenses!$A17)</f>
        <v>0</v>
      </c>
      <c r="D17" s="73">
        <f>SUMIFS(Tabela1[Amount],Tabela1[Month],Expenses!D$2,Tabela1[Category],Expenses!$A17)</f>
        <v>0</v>
      </c>
      <c r="E17" s="73">
        <f>SUMIFS(Tabela1[Amount],Tabela1[Month],Expenses!E$2,Tabela1[Category],Expenses!$A17)</f>
        <v>0</v>
      </c>
      <c r="F17" s="73">
        <f>SUMIFS(Tabela1[Amount],Tabela1[Month],Expenses!F$2,Tabela1[Category],Expenses!$A17)</f>
        <v>0</v>
      </c>
      <c r="G17" s="73">
        <f>SUMIFS(Tabela1[Amount],Tabela1[Month],Expenses!G$2,Tabela1[Category],Expenses!$A17)</f>
        <v>0</v>
      </c>
      <c r="H17" s="73">
        <f>SUMIFS(Tabela1[Amount],Tabela1[Month],Expenses!H$2,Tabela1[Category],Expenses!$A17)</f>
        <v>0</v>
      </c>
      <c r="I17" s="73">
        <f>SUMIFS(Tabela1[Amount],Tabela1[Month],Expenses!I$2,Tabela1[Category],Expenses!$A17)</f>
        <v>0</v>
      </c>
      <c r="J17" s="73">
        <f>SUMIFS(Tabela1[Amount],Tabela1[Month],Expenses!J$2,Tabela1[Category],Expenses!$A17)</f>
        <v>0</v>
      </c>
      <c r="K17" s="73">
        <f>SUMIFS(Tabela1[Amount],Tabela1[Month],Expenses!K$2,Tabela1[Category],Expenses!$A17)</f>
        <v>0</v>
      </c>
      <c r="L17" s="73">
        <f>SUMIFS(Tabela1[Amount],Tabela1[Month],Expenses!L$2,Tabela1[Category],Expenses!$A17)</f>
        <v>0</v>
      </c>
      <c r="M17" s="73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3">
        <f>SUMIFS(Tabela1[Amount],Tabela1[Month],Expenses!B$2,Tabela1[Category],Expenses!$A18)</f>
        <v>0</v>
      </c>
      <c r="C18" s="73">
        <f>SUMIFS(Tabela1[Amount],Tabela1[Month],Expenses!C$2,Tabela1[Category],Expenses!$A18)</f>
        <v>0</v>
      </c>
      <c r="D18" s="73">
        <f>SUMIFS(Tabela1[Amount],Tabela1[Month],Expenses!D$2,Tabela1[Category],Expenses!$A18)</f>
        <v>0</v>
      </c>
      <c r="E18" s="73">
        <f>SUMIFS(Tabela1[Amount],Tabela1[Month],Expenses!E$2,Tabela1[Category],Expenses!$A18)</f>
        <v>0</v>
      </c>
      <c r="F18" s="73">
        <f>SUMIFS(Tabela1[Amount],Tabela1[Month],Expenses!F$2,Tabela1[Category],Expenses!$A18)</f>
        <v>0</v>
      </c>
      <c r="G18" s="73">
        <f>SUMIFS(Tabela1[Amount],Tabela1[Month],Expenses!G$2,Tabela1[Category],Expenses!$A18)</f>
        <v>0</v>
      </c>
      <c r="H18" s="73">
        <f>SUMIFS(Tabela1[Amount],Tabela1[Month],Expenses!H$2,Tabela1[Category],Expenses!$A18)</f>
        <v>0</v>
      </c>
      <c r="I18" s="73">
        <f>SUMIFS(Tabela1[Amount],Tabela1[Month],Expenses!I$2,Tabela1[Category],Expenses!$A18)</f>
        <v>0</v>
      </c>
      <c r="J18" s="73">
        <f>SUMIFS(Tabela1[Amount],Tabela1[Month],Expenses!J$2,Tabela1[Category],Expenses!$A18)</f>
        <v>0</v>
      </c>
      <c r="K18" s="73">
        <f>SUMIFS(Tabela1[Amount],Tabela1[Month],Expenses!K$2,Tabela1[Category],Expenses!$A18)</f>
        <v>0</v>
      </c>
      <c r="L18" s="73">
        <f>SUMIFS(Tabela1[Amount],Tabela1[Month],Expenses!L$2,Tabela1[Category],Expenses!$A18)</f>
        <v>0</v>
      </c>
      <c r="M18" s="73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32</v>
      </c>
      <c r="D2" s="13" t="s">
        <v>33</v>
      </c>
      <c r="E2" s="4"/>
      <c r="F2" s="3" t="s">
        <v>21</v>
      </c>
      <c r="G2" s="4"/>
      <c r="H2" s="10" t="s">
        <v>34</v>
      </c>
      <c r="I2" s="11" t="s">
        <v>35</v>
      </c>
      <c r="K2" s="79" t="s">
        <v>37</v>
      </c>
      <c r="L2" s="80"/>
      <c r="M2" s="24"/>
      <c r="N2" s="79" t="s">
        <v>43</v>
      </c>
      <c r="O2" s="80"/>
    </row>
    <row r="3" spans="1:16" x14ac:dyDescent="0.3">
      <c r="A3" s="5" t="str" cm="1">
        <f t="array" ref="A3:A14">Months</f>
        <v>January</v>
      </c>
      <c r="B3" s="4"/>
      <c r="C3" s="38">
        <f>'Net Salary'!B18</f>
        <v>0</v>
      </c>
      <c r="D3" s="39">
        <f>SUM('Net Salary'!B$15:B$16)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38</v>
      </c>
      <c r="L3" s="39">
        <f>SUM('Net Salary'!B5:M9)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Salary'!C18</f>
        <v>0</v>
      </c>
      <c r="D4" s="39">
        <f>SUM('Net Salary'!C$15:C$16)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39</v>
      </c>
      <c r="L4" s="39">
        <f>SUM('Net Salary'!B10:M14)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Salary'!D18</f>
        <v>0</v>
      </c>
      <c r="D5" s="39">
        <f>SUM('Net Salary'!D$15:D$16)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32</v>
      </c>
      <c r="L5" s="39">
        <f>SUM('Net Salary'!B18:M18)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Salary'!E18</f>
        <v>0</v>
      </c>
      <c r="D6" s="39">
        <f>SUM('Net Salary'!E$15:E$16)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40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Salary'!F18</f>
        <v>0</v>
      </c>
      <c r="D7" s="39">
        <f>SUM('Net Salary'!F$15:F$16)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41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Salary'!G18</f>
        <v>0</v>
      </c>
      <c r="D8" s="39">
        <f>SUM('Net Salary'!G$15:G$16)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42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Salary'!H18</f>
        <v>0</v>
      </c>
      <c r="D9" s="39">
        <f>SUM('Net Salary'!H$15:H$16)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36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Salary'!I18</f>
        <v>0</v>
      </c>
      <c r="D10" s="39">
        <f>SUM('Net Salary'!I$15:I$16)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33</v>
      </c>
      <c r="L10" s="43">
        <f>Dashbord!D15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Salary'!J18</f>
        <v>0</v>
      </c>
      <c r="D11" s="39">
        <f>SUM('Net Salary'!J$15:J$16)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Salary'!K18</f>
        <v>0</v>
      </c>
      <c r="D12" s="39">
        <f>SUM('Net Salary'!K$15:K$16)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Salary'!L18</f>
        <v>0</v>
      </c>
      <c r="D13" s="39">
        <f>SUM('Net Salary'!L$15:L$16)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Salary'!M18</f>
        <v>0</v>
      </c>
      <c r="D14" s="39">
        <f>SUM('Net Salary'!M$15:M$16)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36</v>
      </c>
      <c r="I15" s="43">
        <f>Dashbord!L9</f>
        <v>0</v>
      </c>
    </row>
    <row r="16" spans="1:16" x14ac:dyDescent="0.3">
      <c r="A16" s="5" t="s">
        <v>31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10</vt:i4>
      </vt:variant>
    </vt:vector>
  </HeadingPairs>
  <TitlesOfParts>
    <vt:vector size="15" baseType="lpstr">
      <vt:lpstr>Data Validation</vt:lpstr>
      <vt:lpstr>Balance &amp; Tracking</vt:lpstr>
      <vt:lpstr>Net Salary</vt:lpstr>
      <vt:lpstr>Expenses</vt:lpstr>
      <vt:lpstr>Dashbord</vt:lpstr>
      <vt:lpstr>Accounts</vt:lpstr>
      <vt:lpstr>Dash</vt:lpstr>
      <vt:lpstr>Discount</vt:lpstr>
      <vt:lpstr>Expenses</vt:lpstr>
      <vt:lpstr>Income</vt:lpstr>
      <vt:lpstr>Investments</vt:lpstr>
      <vt:lpstr>Months</vt:lpstr>
      <vt:lpstr>Net_Salary</vt:lpstr>
      <vt:lpstr>Payment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2024-06-05T17:37:28Z</dcterms:modified>
</cp:coreProperties>
</file>