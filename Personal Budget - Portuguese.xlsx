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2B2FB901-4DA9-44FB-A1C4-49AC6746AA7D}" xr6:coauthVersionLast="47" xr6:coauthVersionMax="47" xr10:uidLastSave="{00000000-0000-0000-0000-000000000000}"/>
  <bookViews>
    <workbookView xWindow="-108" yWindow="-108" windowWidth="23256" windowHeight="13176" tabRatio="797" activeTab="1" xr2:uid="{00000000-000D-0000-FFFF-FFFF00000000}"/>
  </bookViews>
  <sheets>
    <sheet name="Validação de Dados" sheetId="15" r:id="rId1"/>
    <sheet name="Saldo &amp; Mov." sheetId="12" r:id="rId2"/>
    <sheet name="Receita Líquida" sheetId="8" state="hidden" r:id="rId3"/>
    <sheet name="Despesas Gerais" sheetId="1" state="hidden" r:id="rId4"/>
    <sheet name="Gráfico Anual" sheetId="13" r:id="rId5"/>
    <sheet name="Análise" sheetId="16" r:id="rId6"/>
  </sheets>
  <definedNames>
    <definedName name="Contas">'Validação de Dados'!$B$5:$B$10</definedName>
    <definedName name="Dash">'Gráfico Anual'!$A$1:$P$26</definedName>
    <definedName name="Despesas">'Validação de Dados'!$E$5:$E$16</definedName>
    <definedName name="Investimentos">'Validação de Dados'!$G$19:$G$20</definedName>
    <definedName name="Meses">'Validação de Dados'!$M$5:$M$16</definedName>
    <definedName name="Pagamento">'Validação de Dados'!$B$9:$B$10</definedName>
    <definedName name="Perdas">'Validação de Dados'!$G$5:$G$9</definedName>
    <definedName name="Receita_Líquida">'Validação de Dados'!$I$5:$I$16</definedName>
    <definedName name="Receitas">'Validação de Dados'!$G$12:$G$16</definedName>
    <definedName name="Transferir">'Validação de Dados'!$B$5:$B$8</definedName>
    <definedName name="Z_12641207_4FA9_4498_AEA1_9BC1962A4F9A_.wvu.Rows" localSheetId="3" hidden="1">'Despesas Gerais'!$6:$6,'Despesas Gerais'!#REF!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2" l="1"/>
  <c r="C18" i="12"/>
  <c r="C17" i="12"/>
  <c r="C5" i="12"/>
  <c r="L5" i="12"/>
  <c r="B14" i="12" l="1"/>
  <c r="K7" i="12" a="1"/>
  <c r="L8" i="12" l="1" a="1"/>
  <c r="L8" i="12" s="1"/>
  <c r="L12" i="12"/>
  <c r="L11" i="12"/>
  <c r="L9" i="12" a="1"/>
  <c r="L9" i="12" s="1"/>
  <c r="L10" i="12" a="1"/>
  <c r="L10" i="12" s="1"/>
  <c r="K7" i="12"/>
  <c r="L7" i="12" s="1" a="1"/>
  <c r="L7" i="12" s="1"/>
  <c r="L6" i="12" l="1"/>
  <c r="C14" i="12" s="1"/>
  <c r="B2" i="8" l="1"/>
  <c r="K11" i="15" a="1"/>
  <c r="K11" i="15" s="1"/>
  <c r="A16" i="12"/>
  <c r="B2" i="12" l="1"/>
  <c r="B11" i="16" l="1" a="1"/>
  <c r="B11" i="16" s="1"/>
  <c r="B202" i="16"/>
  <c r="B201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F3" i="16" l="1" a="1"/>
  <c r="E10" i="16" s="1"/>
  <c r="E8" i="16" l="1"/>
  <c r="E9" i="16"/>
  <c r="E6" i="16"/>
  <c r="E7" i="16"/>
  <c r="F3" i="16"/>
  <c r="E5" i="16"/>
  <c r="K5" i="15" l="1" a="1"/>
  <c r="K5" i="15" s="1"/>
  <c r="C7" i="16" l="1"/>
  <c r="C4" i="16"/>
  <c r="C15" i="16"/>
  <c r="C3" i="16"/>
  <c r="C5" i="16"/>
  <c r="C16" i="16"/>
  <c r="C12" i="16"/>
  <c r="C14" i="16"/>
  <c r="E4" i="16"/>
  <c r="C8" i="16" s="1"/>
  <c r="C17" i="16"/>
  <c r="C11" i="16"/>
  <c r="C18" i="16"/>
  <c r="C19" i="16"/>
  <c r="C20" i="16"/>
  <c r="C22" i="16"/>
  <c r="C13" i="16"/>
  <c r="C21" i="16"/>
  <c r="C6" i="16"/>
  <c r="A7" i="1" a="1"/>
  <c r="A7" i="1" s="1"/>
  <c r="B7" i="12" a="1"/>
  <c r="B4" i="8" a="1"/>
  <c r="B4" i="8" s="1"/>
  <c r="B2" i="1" a="1"/>
  <c r="A3" i="13" a="1"/>
  <c r="A3" i="13" s="1"/>
  <c r="I15" i="15" a="1"/>
  <c r="I15" i="15" s="1"/>
  <c r="I10" i="15" a="1"/>
  <c r="I10" i="15" s="1"/>
  <c r="I5" i="15" a="1"/>
  <c r="I5" i="15" s="1"/>
  <c r="E2" i="12" a="1"/>
  <c r="E2" i="12" s="1"/>
  <c r="C12" i="12" l="1"/>
  <c r="C8" i="12" a="1"/>
  <c r="C8" i="12" s="1"/>
  <c r="C11" i="12"/>
  <c r="C10" i="12" a="1"/>
  <c r="C10" i="12" s="1"/>
  <c r="C9" i="12" a="1"/>
  <c r="C9" i="12" s="1"/>
  <c r="B2" i="1"/>
  <c r="B7" i="12"/>
  <c r="C7" i="12" s="1" a="1"/>
  <c r="C7" i="12" s="1"/>
  <c r="A5" i="8" a="1"/>
  <c r="A5" i="8" s="1"/>
  <c r="N3" i="13" a="1"/>
  <c r="N3" i="13" s="1"/>
  <c r="C6" i="12" l="1"/>
  <c r="B18" i="1"/>
  <c r="C235" i="12" l="1"/>
  <c r="M18" i="1"/>
  <c r="C6" i="8" l="1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7" i="8"/>
  <c r="C11" i="8"/>
  <c r="C15" i="8"/>
  <c r="D7" i="8"/>
  <c r="D11" i="8"/>
  <c r="D15" i="8"/>
  <c r="E7" i="8"/>
  <c r="E11" i="8"/>
  <c r="E15" i="8"/>
  <c r="F7" i="8"/>
  <c r="F11" i="8"/>
  <c r="F15" i="8"/>
  <c r="G7" i="8"/>
  <c r="G11" i="8"/>
  <c r="G15" i="8"/>
  <c r="H7" i="8"/>
  <c r="H11" i="8"/>
  <c r="H15" i="8"/>
  <c r="I7" i="8"/>
  <c r="I11" i="8"/>
  <c r="I15" i="8"/>
  <c r="J7" i="8"/>
  <c r="J11" i="8"/>
  <c r="J15" i="8"/>
  <c r="K7" i="8"/>
  <c r="K11" i="8"/>
  <c r="K15" i="8"/>
  <c r="L7" i="8"/>
  <c r="L11" i="8"/>
  <c r="L15" i="8"/>
  <c r="M7" i="8"/>
  <c r="M11" i="8"/>
  <c r="M15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C8" i="8"/>
  <c r="C12" i="8"/>
  <c r="C16" i="8"/>
  <c r="D8" i="8"/>
  <c r="D12" i="8"/>
  <c r="D16" i="8"/>
  <c r="E8" i="8"/>
  <c r="E12" i="8"/>
  <c r="E16" i="8"/>
  <c r="F8" i="8"/>
  <c r="F12" i="8"/>
  <c r="F16" i="8"/>
  <c r="G8" i="8"/>
  <c r="G12" i="8"/>
  <c r="G16" i="8"/>
  <c r="H8" i="8"/>
  <c r="H12" i="8"/>
  <c r="H16" i="8"/>
  <c r="I8" i="8"/>
  <c r="I12" i="8"/>
  <c r="I16" i="8"/>
  <c r="J8" i="8"/>
  <c r="J12" i="8"/>
  <c r="J16" i="8"/>
  <c r="K8" i="8"/>
  <c r="K12" i="8"/>
  <c r="K16" i="8"/>
  <c r="L8" i="8"/>
  <c r="L12" i="8"/>
  <c r="L16" i="8"/>
  <c r="M8" i="8"/>
  <c r="M12" i="8"/>
  <c r="M16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K18" i="8" l="1"/>
  <c r="E18" i="8"/>
  <c r="G18" i="8"/>
  <c r="C18" i="8"/>
  <c r="M18" i="8"/>
  <c r="I18" i="8"/>
  <c r="L18" i="8"/>
  <c r="D18" i="8"/>
  <c r="H18" i="8"/>
  <c r="O3" i="13"/>
  <c r="D13" i="13"/>
  <c r="D9" i="13"/>
  <c r="D5" i="13"/>
  <c r="D14" i="13"/>
  <c r="D10" i="13"/>
  <c r="D6" i="13"/>
  <c r="D11" i="13"/>
  <c r="D7" i="13"/>
  <c r="J18" i="8"/>
  <c r="F18" i="8"/>
  <c r="D12" i="13"/>
  <c r="D8" i="13"/>
  <c r="D4" i="13"/>
  <c r="C236" i="12" l="1"/>
  <c r="C245" i="12" l="1"/>
  <c r="D245" i="12" s="1"/>
  <c r="E245" i="12" s="1"/>
  <c r="F245" i="12" s="1"/>
  <c r="G245" i="12" l="1"/>
  <c r="C254" i="12" l="1"/>
  <c r="C266" i="12" l="1"/>
  <c r="C265" i="12"/>
  <c r="C264" i="12"/>
  <c r="C263" i="12"/>
  <c r="C262" i="12"/>
  <c r="C261" i="12"/>
  <c r="C260" i="12"/>
  <c r="C259" i="12"/>
  <c r="C258" i="12"/>
  <c r="C257" i="12"/>
  <c r="C256" i="12"/>
  <c r="C269" i="12" l="1"/>
  <c r="C255" i="12"/>
  <c r="C267" i="12"/>
  <c r="C268" i="12"/>
  <c r="C281" i="12"/>
  <c r="C282" i="12"/>
  <c r="B11" i="1" l="1"/>
  <c r="O7" i="13" s="1"/>
  <c r="B15" i="1"/>
  <c r="O11" i="13" s="1"/>
  <c r="B8" i="1"/>
  <c r="B12" i="1"/>
  <c r="O8" i="13" s="1"/>
  <c r="B16" i="1"/>
  <c r="O12" i="13" s="1"/>
  <c r="B9" i="1"/>
  <c r="O5" i="13" s="1"/>
  <c r="B13" i="1"/>
  <c r="O9" i="13" s="1"/>
  <c r="B17" i="1"/>
  <c r="B10" i="1"/>
  <c r="O6" i="13" s="1"/>
  <c r="B14" i="1"/>
  <c r="O10" i="13" s="1"/>
  <c r="O14" i="13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O13" i="13" l="1"/>
  <c r="O4" i="13"/>
  <c r="C9" i="13"/>
  <c r="C13" i="13"/>
  <c r="C10" i="13"/>
  <c r="C4" i="13"/>
  <c r="C12" i="13"/>
  <c r="C14" i="13"/>
  <c r="C6" i="13"/>
  <c r="C8" i="13"/>
  <c r="C11" i="13"/>
  <c r="C7" i="13"/>
  <c r="C5" i="13"/>
  <c r="K20" i="1" l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20" i="1"/>
  <c r="F13" i="13" s="1"/>
  <c r="J20" i="1"/>
  <c r="F11" i="13" s="1"/>
  <c r="H20" i="1"/>
  <c r="F9" i="13" s="1"/>
  <c r="F20" i="1"/>
  <c r="F7" i="13" s="1"/>
  <c r="D20" i="1"/>
  <c r="F5" i="13" l="1"/>
  <c r="L8" i="13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F3" i="13" l="1"/>
  <c r="F16" i="13" s="1"/>
  <c r="F17" i="13" l="1"/>
  <c r="F15" i="13"/>
  <c r="B10" i="8"/>
  <c r="B15" i="8"/>
  <c r="B5" i="8"/>
  <c r="B7" i="8"/>
  <c r="B16" i="8"/>
  <c r="B11" i="8"/>
  <c r="B13" i="8"/>
  <c r="B14" i="8"/>
  <c r="B6" i="8"/>
  <c r="B9" i="8"/>
  <c r="B8" i="8"/>
  <c r="B12" i="8"/>
  <c r="B18" i="8" l="1"/>
  <c r="D3" i="13"/>
  <c r="D16" i="13" s="1"/>
  <c r="L4" i="13"/>
  <c r="C3" i="12"/>
  <c r="F2" i="12" a="1"/>
  <c r="F2" i="12" s="1"/>
  <c r="L3" i="13"/>
  <c r="B3" i="1" l="1"/>
  <c r="B4" i="1" s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D17" i="13"/>
  <c r="D15" i="13"/>
  <c r="L10" i="13" s="1"/>
  <c r="L5" i="13"/>
  <c r="C3" i="13"/>
  <c r="C16" i="13" s="1"/>
  <c r="I3" i="13" l="1"/>
  <c r="C17" i="13"/>
  <c r="C15" i="13"/>
  <c r="H3" i="13" l="1"/>
  <c r="I4" i="13"/>
  <c r="H4" i="13" s="1"/>
  <c r="I5" i="13"/>
  <c r="H5" i="13" l="1"/>
  <c r="I6" i="13"/>
  <c r="H6" i="13" s="1"/>
  <c r="I7" i="13" l="1"/>
  <c r="H7" i="13" s="1"/>
  <c r="I8" i="13" l="1"/>
  <c r="H8" i="13" s="1"/>
  <c r="I9" i="13" l="1"/>
  <c r="H9" i="13" s="1"/>
  <c r="I10" i="13" l="1"/>
  <c r="H10" i="13" s="1"/>
  <c r="I11" i="13" l="1"/>
  <c r="H11" i="13" s="1"/>
  <c r="I12" i="13" l="1"/>
  <c r="H12" i="13" s="1"/>
  <c r="I13" i="13" l="1"/>
  <c r="H13" i="13" l="1"/>
  <c r="L9" i="13"/>
  <c r="I15" i="13" s="1"/>
  <c r="I14" i="13"/>
  <c r="H1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<sst xmlns="http://schemas.openxmlformats.org/spreadsheetml/2006/main" count="124" uniqueCount="89">
  <si>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</si>
  <si>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</si>
  <si>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</si>
  <si>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</si>
  <si>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</si>
  <si>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</si>
  <si>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</si>
  <si>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</si>
  <si>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</si>
  <si>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</si>
  <si>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</si>
  <si>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</si>
  <si>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</si>
  <si>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</si>
  <si>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</si>
  <si>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</si>
  <si>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</si>
  <si>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</si>
  <si>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</si>
  <si>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</si>
  <si>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</si>
  <si>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Alimentação</t>
  </si>
  <si>
    <t>Desp. Total</t>
  </si>
  <si>
    <t>Desp. Fixas</t>
  </si>
  <si>
    <t>Resultado - Total</t>
  </si>
  <si>
    <t>Valor</t>
  </si>
  <si>
    <t>Salário</t>
  </si>
  <si>
    <t>1º Sem.</t>
  </si>
  <si>
    <t>2º Sem.</t>
  </si>
  <si>
    <t>Banco 1</t>
  </si>
  <si>
    <t>Data</t>
  </si>
  <si>
    <t>Categoria</t>
  </si>
  <si>
    <t>G. Gerais</t>
  </si>
  <si>
    <t>Vendas</t>
  </si>
  <si>
    <t>Inss</t>
  </si>
  <si>
    <t>Operação</t>
  </si>
  <si>
    <t>Perdas Outros</t>
  </si>
  <si>
    <t>Sld. Atual</t>
  </si>
  <si>
    <t>Receitas Outros</t>
  </si>
  <si>
    <t>Janeiro</t>
  </si>
  <si>
    <t>T. Transporte</t>
  </si>
  <si>
    <t>Rendimentos</t>
  </si>
  <si>
    <t>CDI</t>
  </si>
  <si>
    <t>Tesouro Direto</t>
  </si>
  <si>
    <t>G. Residencial</t>
  </si>
  <si>
    <t>Eletrônicos</t>
  </si>
  <si>
    <t>Condomínio</t>
  </si>
  <si>
    <t>Taxa</t>
  </si>
  <si>
    <t>Receitas</t>
  </si>
  <si>
    <t>Jogos/ Livros</t>
  </si>
  <si>
    <t>Rolê/ Entret.</t>
  </si>
  <si>
    <t>Gasolina</t>
  </si>
  <si>
    <t>Curso</t>
  </si>
  <si>
    <t>Meses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</si>
  <si>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</si>
  <si>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</si>
  <si>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</si>
  <si>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</si>
  <si>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</si>
  <si>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</si>
  <si>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</si>
  <si>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</si>
  <si>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</si>
  <si>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</si>
  <si>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</si>
  <si>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Perdas</t>
  </si>
  <si>
    <t>Transferir</t>
  </si>
  <si>
    <t>*Faça alterações nos valores em azul como preferir, porém para adicionar ou remover valores será necessário alterar a planilha onde for preciso.</t>
  </si>
  <si>
    <t>Contas</t>
  </si>
  <si>
    <t>Conta</t>
  </si>
  <si>
    <t>Transp./ Carro</t>
  </si>
  <si>
    <t>C. Crédito</t>
  </si>
  <si>
    <t>Pagamento</t>
  </si>
  <si>
    <t>Imposto</t>
  </si>
  <si>
    <t>Dinheiro</t>
  </si>
  <si>
    <t>Saldo Inicial</t>
  </si>
  <si>
    <t>Intervalo</t>
  </si>
  <si>
    <t>Maior</t>
  </si>
  <si>
    <t>Menor</t>
  </si>
  <si>
    <t>Totol</t>
  </si>
  <si>
    <t>Quantidade</t>
  </si>
  <si>
    <t>Próximo</t>
  </si>
  <si>
    <t xml:space="preserve">Selecione - </t>
  </si>
  <si>
    <t>Contas - Hoje</t>
  </si>
  <si>
    <t>Banco 2</t>
  </si>
  <si>
    <t>Savings</t>
  </si>
  <si>
    <t>Dívidas</t>
  </si>
  <si>
    <t>Aluguel</t>
  </si>
  <si>
    <t>Tab para criar nova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</si>
</sst>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dd/mm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44" fontId="6" fillId="2" borderId="1" xfId="1" applyFont="1" applyFill="1" applyBorder="1"/>
    <xf numFmtId="0" fontId="5" fillId="2" borderId="0" xfId="0" applyFont="1" applyFill="1"/>
    <xf numFmtId="0" fontId="4" fillId="3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44" fontId="5" fillId="2" borderId="0" xfId="0" applyNumberFormat="1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44" fontId="5" fillId="2" borderId="0" xfId="0" applyNumberFormat="1" applyFont="1" applyFill="1"/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4" fontId="5" fillId="2" borderId="10" xfId="0" applyNumberFormat="1" applyFont="1" applyFill="1" applyBorder="1" applyAlignment="1">
      <alignment horizontal="center"/>
    </xf>
    <xf numFmtId="44" fontId="5" fillId="2" borderId="11" xfId="1" applyFont="1" applyFill="1" applyBorder="1" applyAlignment="1">
      <alignment horizontal="center"/>
    </xf>
    <xf numFmtId="44" fontId="5" fillId="2" borderId="10" xfId="1" applyFont="1" applyFill="1" applyBorder="1" applyAlignment="1">
      <alignment horizontal="center"/>
    </xf>
    <xf numFmtId="44" fontId="5" fillId="2" borderId="11" xfId="0" applyNumberFormat="1" applyFont="1" applyFill="1" applyBorder="1" applyAlignment="1">
      <alignment horizontal="center"/>
    </xf>
    <xf numFmtId="44" fontId="5" fillId="2" borderId="2" xfId="0" applyNumberFormat="1" applyFont="1" applyFill="1" applyBorder="1" applyAlignment="1">
      <alignment horizontal="center"/>
    </xf>
    <xf numFmtId="44" fontId="5" fillId="2" borderId="3" xfId="0" applyNumberFormat="1" applyFont="1" applyFill="1" applyBorder="1" applyAlignment="1">
      <alignment horizontal="center"/>
    </xf>
    <xf numFmtId="44" fontId="5" fillId="2" borderId="6" xfId="1" applyFont="1" applyFill="1" applyBorder="1" applyAlignment="1">
      <alignment horizontal="center"/>
    </xf>
    <xf numFmtId="44" fontId="5" fillId="2" borderId="6" xfId="1" applyFont="1" applyFill="1" applyBorder="1" applyAlignment="1"/>
    <xf numFmtId="44" fontId="5" fillId="2" borderId="6" xfId="0" applyNumberFormat="1" applyFont="1" applyFill="1" applyBorder="1"/>
    <xf numFmtId="44" fontId="5" fillId="2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44" fontId="5" fillId="2" borderId="1" xfId="1" applyFont="1" applyFill="1" applyBorder="1" applyAlignment="1">
      <alignment vertical="center"/>
    </xf>
    <xf numFmtId="0" fontId="6" fillId="2" borderId="1" xfId="0" applyFont="1" applyFill="1" applyBorder="1"/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10" xfId="0" applyFont="1" applyFill="1" applyBorder="1"/>
    <xf numFmtId="0" fontId="5" fillId="2" borderId="2" xfId="0" applyFont="1" applyFill="1" applyBorder="1"/>
    <xf numFmtId="0" fontId="6" fillId="2" borderId="10" xfId="0" applyFont="1" applyFill="1" applyBorder="1"/>
    <xf numFmtId="44" fontId="6" fillId="2" borderId="1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44" fontId="6" fillId="2" borderId="0" xfId="1" applyFont="1" applyFill="1" applyBorder="1"/>
    <xf numFmtId="0" fontId="6" fillId="2" borderId="0" xfId="0" applyFont="1" applyFill="1"/>
    <xf numFmtId="44" fontId="6" fillId="2" borderId="1" xfId="1" applyFont="1" applyFill="1" applyBorder="1" applyAlignment="1"/>
    <xf numFmtId="44" fontId="6" fillId="2" borderId="0" xfId="1" applyFont="1" applyFill="1" applyBorder="1" applyAlignment="1"/>
    <xf numFmtId="0" fontId="3" fillId="2" borderId="10" xfId="0" applyFont="1" applyFill="1" applyBorder="1"/>
    <xf numFmtId="0" fontId="3" fillId="2" borderId="2" xfId="0" applyFont="1" applyFill="1" applyBorder="1"/>
    <xf numFmtId="44" fontId="6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0" fontId="0" fillId="5" borderId="1" xfId="0" applyFill="1" applyBorder="1"/>
    <xf numFmtId="44" fontId="6" fillId="5" borderId="1" xfId="1" applyFont="1" applyFill="1" applyBorder="1"/>
    <xf numFmtId="44" fontId="6" fillId="5" borderId="1" xfId="0" applyNumberFormat="1" applyFont="1" applyFill="1" applyBorder="1"/>
    <xf numFmtId="44" fontId="4" fillId="6" borderId="1" xfId="1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/>
    </xf>
    <xf numFmtId="44" fontId="0" fillId="5" borderId="1" xfId="1" applyFont="1" applyFill="1" applyBorder="1"/>
    <xf numFmtId="44" fontId="5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44" fontId="5" fillId="2" borderId="1" xfId="1" applyFont="1" applyFill="1" applyBorder="1"/>
    <xf numFmtId="0" fontId="4" fillId="6" borderId="1" xfId="1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65" fontId="4" fillId="4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left" vertical="center"/>
    </xf>
    <xf numFmtId="44" fontId="6" fillId="2" borderId="1" xfId="1" applyFont="1" applyFill="1" applyBorder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wrapText="1"/>
    </xf>
    <xf numFmtId="165" fontId="6" fillId="7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44" fontId="6" fillId="7" borderId="0" xfId="1" applyFont="1" applyFill="1" applyBorder="1" applyAlignment="1">
      <alignment horizontal="center"/>
    </xf>
    <xf numFmtId="0" fontId="6" fillId="7" borderId="0" xfId="0" applyFont="1" applyFill="1" applyAlignment="1">
      <alignment horizontal="left"/>
    </xf>
    <xf numFmtId="44" fontId="6" fillId="7" borderId="0" xfId="1" applyFont="1" applyFill="1" applyAlignment="1">
      <alignment horizontal="center"/>
    </xf>
    <xf numFmtId="44" fontId="6" fillId="7" borderId="0" xfId="1" quotePrefix="1" applyFont="1" applyFill="1" applyAlignment="1">
      <alignment horizontal="center"/>
    </xf>
    <xf numFmtId="44" fontId="6" fillId="7" borderId="0" xfId="0" applyNumberFormat="1" applyFont="1" applyFill="1" applyAlignment="1">
      <alignment horizontal="left"/>
    </xf>
    <xf numFmtId="0" fontId="6" fillId="7" borderId="0" xfId="0" applyFont="1" applyFill="1" applyAlignment="1">
      <alignment horizontal="right"/>
    </xf>
    <xf numFmtId="165" fontId="6" fillId="7" borderId="0" xfId="0" applyNumberFormat="1" applyFont="1" applyFill="1"/>
    <xf numFmtId="0" fontId="8" fillId="7" borderId="0" xfId="0" applyFont="1" applyFill="1" applyAlignment="1">
      <alignment horizontal="left"/>
    </xf>
    <xf numFmtId="44" fontId="2" fillId="7" borderId="0" xfId="1" applyFont="1" applyFill="1"/>
    <xf numFmtId="44" fontId="2" fillId="7" borderId="0" xfId="1" applyFont="1" applyFill="1" applyAlignment="1">
      <alignment horizontal="center"/>
    </xf>
    <xf numFmtId="0" fontId="2" fillId="7" borderId="0" xfId="0" applyFont="1" applyFill="1"/>
    <xf numFmtId="0" fontId="4" fillId="7" borderId="0" xfId="1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center"/>
    </xf>
    <xf numFmtId="44" fontId="0" fillId="7" borderId="0" xfId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44" fontId="5" fillId="2" borderId="0" xfId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8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C6EFCE"/>
        </patternFill>
      </fill>
    </dxf>
    <dxf>
      <font>
        <color rgb="FFFF0000"/>
      </font>
    </dxf>
    <dxf>
      <font>
        <b val="0"/>
        <i val="0"/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C6EFCE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27"/>
      <tableStyleElement type="headerRow" dxfId="26"/>
    </tableStyle>
  </tableStyles>
  <colors>
    <mruColors>
      <color rgb="FFFABF8F"/>
      <color rgb="FFC6EFCE"/>
      <color rgb="FFFF0000"/>
      <color rgb="FFFF6600"/>
      <color rgb="FFFF33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Mov.'!$E$2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Mov.'!$E$3</c:f>
              <c:strCache>
                <c:ptCount val="1"/>
                <c:pt idx="0">
                  <c:v>Transp./ Carro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Mov.'!$E$4</c:f>
              <c:strCache>
                <c:ptCount val="1"/>
                <c:pt idx="0">
                  <c:v>Condomínio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Mov.'!$E$5</c:f>
              <c:strCache>
                <c:ptCount val="1"/>
                <c:pt idx="0">
                  <c:v>Curso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Mov.'!$E$6</c:f>
              <c:strCache>
                <c:ptCount val="1"/>
                <c:pt idx="0">
                  <c:v>Eletrônicos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Mov.'!$E$7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Mov.'!$E$8</c:f>
              <c:strCache>
                <c:ptCount val="1"/>
                <c:pt idx="0">
                  <c:v>G. Residencial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Mov.'!$E$9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Mov.'!$E$10</c:f>
              <c:strCache>
                <c:ptCount val="1"/>
                <c:pt idx="0">
                  <c:v>Jogos/ Livros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'Saldo &amp; Mov.'!$E$11</c:f>
              <c:strCache>
                <c:ptCount val="1"/>
                <c:pt idx="0">
                  <c:v>Rolê/ Entret.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'Saldo &amp; Mov.'!$E$12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'Saldo &amp; Mov.'!$E$13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'Saldo &amp; Mov.'!$F$13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'Gráfico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'Gráfico Anual'!$C$2</c15:sqref>
                        </c15:formulaRef>
                      </c:ext>
                    </c:extLst>
                    <c:strCache>
                      <c:ptCount val="1"/>
                      <c:pt idx="0">
                        <c:v>R. Líquida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'Gráfico Anual'!$A$3:$A$14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'Gráfico Anual'!$C$3:$C$14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191-4C5F-8E3C-CD0002F93C6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'Gráfico Anual'!$D$2</c15:sqref>
                        </c15:formulaRef>
                      </c:ext>
                    </c:extLst>
                    <c:strCache>
                      <c:ptCount val="1"/>
                      <c:pt idx="0">
                        <c:v>Investimentos</c:v>
                      </c:pt>
                    </c:strCache>
                  </c:strRef>
                </c:tx>
                <c:spPr>
                  <a:ln w="34925" cap="rnd">
                    <a:solidFill>
                      <a:schemeClr val="accent6">
                        <a:lumMod val="75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'Gráfico Anual'!$A$3:$A$14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  <c:pt idx="11">
                        <c:v>Dezembro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'Gráfico Anual'!$D$3:$D$14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191-4C5F-8E3C-CD0002F93C64}"/>
                  </c:ext>
                </c:extLst>
              </c15:ser>
            </c15:filteredLineSeries>
          </c:ext>
        </c:extLst>
      </c:lineChart>
      <c:scatterChart>
        <c:scatterStyle val="lineMarker"/>
        <c:varyColors val="0"/>
        <c:ser>
          <c:idx val="3"/>
          <c:order val="3"/>
          <c:tx>
            <c:v>Saldo Real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ash"/>
            <c:size val="20"/>
            <c:spPr>
              <a:solidFill>
                <a:schemeClr val="accent3">
                  <a:lumMod val="75000"/>
                  <a:alpha val="50000"/>
                </a:schemeClr>
              </a:solidFill>
              <a:ln w="25400">
                <a:solidFill>
                  <a:srgbClr val="FF0000">
                    <a:alpha val="50000"/>
                  </a:srgb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'Gráfico Anual'!$I$3:$I$14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E5A-4226-BC63-E6F9D6BC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  <c:extLst/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Anual'!$K$2:$K$10</c15:sqref>
                  </c15:fullRef>
                </c:ext>
              </c:extLst>
              <c:f>('Gráfico Anual'!$K$3:$K$7,'Gráfico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Anual'!$L$2:$L$10</c15:sqref>
                  </c15:fullRef>
                </c:ext>
              </c:extLst>
              <c:f>('Gráfico Anual'!$L$3:$L$7,'Gráfico Anual'!$L$10)</c:f>
              <c:numCache>
                <c:formatCode>_("R$"* #,##0.00_);_("R$"* \(#,##0.00\);_("R$"*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Anual'!$N$3:$N$13</c:f>
              <c:strCache>
                <c:ptCount val="11"/>
                <c:pt idx="0">
                  <c:v>Alimentação</c:v>
                </c:pt>
                <c:pt idx="1">
                  <c:v>Transp./ Carro</c:v>
                </c:pt>
                <c:pt idx="2">
                  <c:v>Condomínio</c:v>
                </c:pt>
                <c:pt idx="3">
                  <c:v>Curso</c:v>
                </c:pt>
                <c:pt idx="4">
                  <c:v>Eletrônicos</c:v>
                </c:pt>
                <c:pt idx="5">
                  <c:v>Farm. e Saúde.</c:v>
                </c:pt>
                <c:pt idx="6">
                  <c:v>G. Residencial</c:v>
                </c:pt>
                <c:pt idx="7">
                  <c:v>Gasolina</c:v>
                </c:pt>
                <c:pt idx="8">
                  <c:v>Jogos/ Livros</c:v>
                </c:pt>
                <c:pt idx="9">
                  <c:v>Rolê/ Entret.</c:v>
                </c:pt>
                <c:pt idx="10">
                  <c:v>Roupas</c:v>
                </c:pt>
              </c:strCache>
            </c:strRef>
          </c:cat>
          <c:val>
            <c:numRef>
              <c:f>'Gráfico Anual'!$O$3:$O$13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82056</xdr:colOff>
      <xdr:row>1</xdr:row>
      <xdr:rowOff>11288</xdr:rowOff>
    </xdr:from>
    <xdr:to>
      <xdr:col>7</xdr:col>
      <xdr:colOff>2350472</xdr:colOff>
      <xdr:row>14</xdr:row>
      <xdr:rowOff>435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</xdr:colOff>
      <xdr:row>0</xdr:row>
      <xdr:rowOff>0</xdr:rowOff>
    </xdr:from>
    <xdr:to>
      <xdr:col>10</xdr:col>
      <xdr:colOff>19234</xdr:colOff>
      <xdr:row>31</xdr:row>
      <xdr:rowOff>121140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21538</xdr:colOff>
      <xdr:row>0</xdr:row>
      <xdr:rowOff>0</xdr:rowOff>
    </xdr:from>
    <xdr:to>
      <xdr:col>17</xdr:col>
      <xdr:colOff>388190</xdr:colOff>
      <xdr:row>14</xdr:row>
      <xdr:rowOff>152151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22005</xdr:colOff>
      <xdr:row>14</xdr:row>
      <xdr:rowOff>156129</xdr:rowOff>
    </xdr:from>
    <xdr:to>
      <xdr:col>17</xdr:col>
      <xdr:colOff>390235</xdr:colOff>
      <xdr:row>31</xdr:row>
      <xdr:rowOff>92620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6:H19" insertRowShift="1" totalsRowShown="0" headerRowDxfId="25" dataDxfId="24">
  <autoFilter ref="B16:H19" xr:uid="{739BA625-5E32-4F47-8323-C47308DEF24A}"/>
  <sortState xmlns:xlrd2="http://schemas.microsoft.com/office/spreadsheetml/2017/richdata2" ref="B18:H19">
    <sortCondition ref="B16:B19"/>
  </sortState>
  <tableColumns count="7">
    <tableColumn id="1" xr3:uid="{F0A7AC4E-C2B6-48F0-8ABD-146393E8FC69}" name="Data" dataDxfId="23"/>
    <tableColumn id="2" xr3:uid="{684795FD-753E-4C1F-B63E-5EE124E9D624}" name="Mês" dataDxfId="22">
      <calculatedColumnFormula>IF(ISBLANK(B17),"",PROPER(TEXT(B17,"MMMM")))</calculatedColumnFormula>
    </tableColumn>
    <tableColumn id="6" xr3:uid="{23818CCC-08C7-4066-9B86-98D831460C75}" name="Operação" dataDxfId="21"/>
    <tableColumn id="3" xr3:uid="{78815540-1C3C-4370-A3E4-1C8E033CFC39}" name="Categoria" dataDxfId="20"/>
    <tableColumn id="7" xr3:uid="{F153B94E-6C60-4C63-A86C-8519A94E1F13}" name="Conta" dataDxfId="19"/>
    <tableColumn id="4" xr3:uid="{EE54C9A2-2D53-4D6A-93DF-88B691A8C3D9}" name="Valor" dataDxfId="18"/>
    <tableColumn id="5" xr3:uid="{28149A80-D409-4A63-B4C2-6EDA92C21F54}" name="Descrição" dataDxfId="17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5F8E-9A60-4A91-9240-674E3E5733FC}">
  <sheetPr>
    <tabColor theme="0"/>
  </sheetPr>
  <dimension ref="A2:M20"/>
  <sheetViews>
    <sheetView zoomScale="130" zoomScaleNormal="130" workbookViewId="0">
      <selection activeCell="B2" sqref="B2"/>
    </sheetView>
  </sheetViews>
  <sheetFormatPr defaultColWidth="9.109375" defaultRowHeight="14.4" x14ac:dyDescent="0.3"/>
  <cols>
    <col min="1" max="1" width="11.109375" style="1" customWidth="1"/>
    <col min="2" max="3" width="14.33203125" style="1" customWidth="1"/>
    <col min="4" max="4" width="3.5546875" style="1" customWidth="1"/>
    <col min="5" max="5" width="17.109375" style="1" customWidth="1"/>
    <col min="6" max="6" width="3.5546875" style="1" customWidth="1"/>
    <col min="7" max="7" width="17.109375" style="1" customWidth="1"/>
    <col min="8" max="8" width="3.5546875" style="1" customWidth="1"/>
    <col min="9" max="9" width="17.109375" style="1" customWidth="1"/>
    <col min="10" max="10" width="3.5546875" style="1" customWidth="1"/>
    <col min="11" max="11" width="14.33203125" style="1" customWidth="1"/>
    <col min="12" max="12" width="3.5546875" style="1" customWidth="1"/>
    <col min="13" max="13" width="12.21875" style="1" customWidth="1"/>
    <col min="14" max="14" width="3.5546875" style="1" customWidth="1"/>
    <col min="15" max="15" width="14.33203125" style="1" customWidth="1"/>
    <col min="16" max="16" width="3.5546875" style="1" customWidth="1"/>
    <col min="17" max="17" width="11.44140625" style="1" customWidth="1"/>
    <col min="18" max="16384" width="9.109375" style="1"/>
  </cols>
  <sheetData>
    <row r="2" spans="1:13" x14ac:dyDescent="0.3">
      <c r="B2" s="1" t="s">
        <v>67</v>
      </c>
    </row>
    <row r="4" spans="1:13" ht="16.2" x14ac:dyDescent="0.4">
      <c r="B4" s="35" t="s">
        <v>68</v>
      </c>
      <c r="C4" s="35" t="s">
        <v>75</v>
      </c>
      <c r="E4" s="35" t="s">
        <v>1</v>
      </c>
      <c r="G4" s="35" t="s">
        <v>65</v>
      </c>
      <c r="I4" s="35" t="s">
        <v>16</v>
      </c>
      <c r="K4" s="35" t="s">
        <v>66</v>
      </c>
      <c r="M4" s="35" t="s">
        <v>53</v>
      </c>
    </row>
    <row r="5" spans="1:13" x14ac:dyDescent="0.3">
      <c r="B5" s="47" t="s">
        <v>29</v>
      </c>
      <c r="C5" s="52">
        <v>0</v>
      </c>
      <c r="E5" s="47" t="s">
        <v>21</v>
      </c>
      <c r="G5" s="47" t="s">
        <v>34</v>
      </c>
      <c r="I5" s="90" t="str" cm="1">
        <f t="array" ref="I5:I9">Receitas</f>
        <v>Salário</v>
      </c>
      <c r="K5" s="90" t="str" cm="1">
        <f t="array" ref="K5:K8">Transferir</f>
        <v>Banco 1</v>
      </c>
      <c r="M5" s="90" t="s">
        <v>39</v>
      </c>
    </row>
    <row r="6" spans="1:13" x14ac:dyDescent="0.3">
      <c r="B6" s="60" t="s">
        <v>84</v>
      </c>
      <c r="C6" s="52">
        <v>0</v>
      </c>
      <c r="E6" s="47" t="s">
        <v>70</v>
      </c>
      <c r="G6" s="47" t="s">
        <v>40</v>
      </c>
      <c r="I6" s="90" t="str">
        <v>Vendas</v>
      </c>
      <c r="K6" s="90" t="str">
        <v>Banco 2</v>
      </c>
      <c r="M6" s="90" t="s">
        <v>54</v>
      </c>
    </row>
    <row r="7" spans="1:13" x14ac:dyDescent="0.3">
      <c r="B7" s="47" t="s">
        <v>74</v>
      </c>
      <c r="C7" s="52">
        <v>0</v>
      </c>
      <c r="E7" s="47" t="s">
        <v>46</v>
      </c>
      <c r="G7" s="47" t="s">
        <v>47</v>
      </c>
      <c r="I7" s="90" t="str">
        <v>Aluguel</v>
      </c>
      <c r="K7" s="90" t="str">
        <v>Dinheiro</v>
      </c>
      <c r="M7" s="90" t="s">
        <v>55</v>
      </c>
    </row>
    <row r="8" spans="1:13" x14ac:dyDescent="0.3">
      <c r="B8" s="47" t="s">
        <v>85</v>
      </c>
      <c r="C8" s="52">
        <v>0</v>
      </c>
      <c r="E8" s="47" t="s">
        <v>52</v>
      </c>
      <c r="G8" s="47" t="s">
        <v>73</v>
      </c>
      <c r="I8" s="90" t="str">
        <v>Rendimentos</v>
      </c>
      <c r="K8" s="90" t="str">
        <v>Savings</v>
      </c>
      <c r="M8" s="90" t="s">
        <v>56</v>
      </c>
    </row>
    <row r="9" spans="1:13" x14ac:dyDescent="0.3">
      <c r="A9" s="73"/>
      <c r="B9" s="47" t="s">
        <v>86</v>
      </c>
      <c r="C9" s="52">
        <v>0</v>
      </c>
      <c r="E9" s="47" t="s">
        <v>45</v>
      </c>
      <c r="G9" s="47" t="s">
        <v>36</v>
      </c>
      <c r="I9" s="90" t="str">
        <v>Receitas Outros</v>
      </c>
      <c r="M9" s="90" t="s">
        <v>57</v>
      </c>
    </row>
    <row r="10" spans="1:13" ht="16.2" x14ac:dyDescent="0.4">
      <c r="B10" s="47" t="s">
        <v>71</v>
      </c>
      <c r="C10" s="52">
        <v>0</v>
      </c>
      <c r="E10" s="47" t="s">
        <v>20</v>
      </c>
      <c r="I10" s="90" t="str" cm="1">
        <f t="array" ref="I10:I14">Perdas</f>
        <v>Inss</v>
      </c>
      <c r="K10" s="35" t="s">
        <v>72</v>
      </c>
      <c r="M10" s="90" t="s">
        <v>58</v>
      </c>
    </row>
    <row r="11" spans="1:13" ht="16.2" x14ac:dyDescent="0.4">
      <c r="E11" s="47" t="s">
        <v>44</v>
      </c>
      <c r="G11" s="35" t="s">
        <v>48</v>
      </c>
      <c r="I11" s="90" t="str">
        <v>T. Transporte</v>
      </c>
      <c r="K11" s="90" t="str" cm="1">
        <f t="array" ref="K11:K12">Pagamento</f>
        <v>Dívidas</v>
      </c>
      <c r="M11" s="90" t="s">
        <v>59</v>
      </c>
    </row>
    <row r="12" spans="1:13" x14ac:dyDescent="0.3">
      <c r="B12" s="74"/>
      <c r="C12" s="74"/>
      <c r="E12" s="47" t="s">
        <v>51</v>
      </c>
      <c r="G12" s="47" t="s">
        <v>26</v>
      </c>
      <c r="I12" s="90" t="str">
        <v>Taxa</v>
      </c>
      <c r="K12" s="90" t="str">
        <v>C. Crédito</v>
      </c>
      <c r="M12" s="90" t="s">
        <v>60</v>
      </c>
    </row>
    <row r="13" spans="1:13" x14ac:dyDescent="0.3">
      <c r="B13" s="74"/>
      <c r="C13" s="74"/>
      <c r="E13" s="47" t="s">
        <v>49</v>
      </c>
      <c r="G13" s="47" t="s">
        <v>33</v>
      </c>
      <c r="I13" s="90" t="str">
        <v>Imposto</v>
      </c>
      <c r="M13" s="90" t="s">
        <v>61</v>
      </c>
    </row>
    <row r="14" spans="1:13" x14ac:dyDescent="0.3">
      <c r="B14" s="74"/>
      <c r="C14" s="74"/>
      <c r="E14" s="47" t="s">
        <v>50</v>
      </c>
      <c r="G14" s="47" t="s">
        <v>87</v>
      </c>
      <c r="I14" s="90" t="str">
        <v>Perdas Outros</v>
      </c>
      <c r="M14" s="90" t="s">
        <v>62</v>
      </c>
    </row>
    <row r="15" spans="1:13" x14ac:dyDescent="0.3">
      <c r="B15" s="74"/>
      <c r="C15" s="74"/>
      <c r="E15" s="47" t="s">
        <v>11</v>
      </c>
      <c r="G15" s="47" t="s">
        <v>41</v>
      </c>
      <c r="I15" s="90" t="str" cm="1">
        <f t="array" ref="I15:I16">Investimentos</f>
        <v>CDI</v>
      </c>
      <c r="M15" s="90" t="s">
        <v>63</v>
      </c>
    </row>
    <row r="16" spans="1:13" x14ac:dyDescent="0.3">
      <c r="B16" s="74"/>
      <c r="C16" s="74"/>
      <c r="E16" s="47" t="s">
        <v>32</v>
      </c>
      <c r="G16" s="47" t="s">
        <v>38</v>
      </c>
      <c r="I16" s="90" t="str">
        <v>Tesouro Direto</v>
      </c>
      <c r="M16" s="90" t="s">
        <v>64</v>
      </c>
    </row>
    <row r="17" spans="2:7" x14ac:dyDescent="0.3">
      <c r="B17" s="74"/>
      <c r="C17" s="74"/>
    </row>
    <row r="18" spans="2:7" ht="16.2" x14ac:dyDescent="0.4">
      <c r="B18" s="74"/>
      <c r="C18" s="74"/>
      <c r="G18" s="35" t="s">
        <v>3</v>
      </c>
    </row>
    <row r="19" spans="2:7" x14ac:dyDescent="0.3">
      <c r="B19" s="74"/>
      <c r="C19" s="74"/>
      <c r="G19" s="47" t="s">
        <v>42</v>
      </c>
    </row>
    <row r="20" spans="2:7" x14ac:dyDescent="0.3">
      <c r="G20" s="47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L772"/>
  <sheetViews>
    <sheetView tabSelected="1" zoomScale="135" zoomScaleNormal="135" workbookViewId="0">
      <pane ySplit="16" topLeftCell="A17" activePane="bottomLeft" state="frozen"/>
      <selection pane="bottomLeft" activeCell="B17" sqref="B17"/>
    </sheetView>
  </sheetViews>
  <sheetFormatPr defaultColWidth="9.109375" defaultRowHeight="16.2" x14ac:dyDescent="0.4"/>
  <cols>
    <col min="1" max="1" width="14.44140625" style="77" customWidth="1"/>
    <col min="2" max="2" width="14.44140625" style="75" customWidth="1"/>
    <col min="3" max="4" width="14.44140625" style="76" customWidth="1"/>
    <col min="5" max="6" width="14.44140625" style="77" customWidth="1"/>
    <col min="7" max="7" width="14.44140625" style="80" customWidth="1"/>
    <col min="8" max="8" width="34.33203125" style="79" customWidth="1"/>
    <col min="9" max="9" width="13.5546875" style="77" customWidth="1"/>
    <col min="10" max="10" width="10" style="77" customWidth="1"/>
    <col min="11" max="12" width="14.44140625" style="77" customWidth="1"/>
    <col min="13" max="16384" width="9.109375" style="77"/>
  </cols>
  <sheetData>
    <row r="1" spans="1:12" ht="3.6" customHeight="1" x14ac:dyDescent="0.4">
      <c r="E1" s="88"/>
      <c r="F1" s="86" t="s">
        <v>25</v>
      </c>
    </row>
    <row r="2" spans="1:12" ht="14.25" customHeight="1" x14ac:dyDescent="0.4">
      <c r="B2" s="61" t="str">
        <f ca="1">IF($C$5="",PROPER(TEXT(TODAY(),"MMMM")),PROPER(TEXT($C$5,"MMMM")))</f>
        <v>Abril</v>
      </c>
      <c r="C2" s="61" t="s">
        <v>2</v>
      </c>
      <c r="E2" s="85" t="str" cm="1">
        <f t="array" ref="E2:E13">IF(B3="Despesas",Despesas,IF(B3="Receita Líquida",Receita_Líquida,""))</f>
        <v>Alimentação</v>
      </c>
      <c r="F2" s="86" cm="1">
        <f t="array" aca="1" ref="F2:F13" ca="1">IF(B3="Despesas",_xlfn._xlws.FILTER('Despesas Gerais'!B7:M18,'Despesas Gerais'!B2:M2=B2),IF(B3="Receita Líquida",_xlfn._xlws.FILTER('Receita Líquida'!B5:M16,'Receita Líquida'!B4:M4=B2),""))</f>
        <v>0</v>
      </c>
      <c r="H2" s="77"/>
    </row>
    <row r="3" spans="1:12" ht="13.8" customHeight="1" x14ac:dyDescent="0.4">
      <c r="B3" s="62" t="s">
        <v>1</v>
      </c>
      <c r="C3" s="26">
        <f ca="1">IF(B3="Despesas",HLOOKUP(B2,'Despesas Gerais'!B2:M20,19,FALSE),IF(B3="Receita Líquida",HLOOKUP(B2,'Receita Líquida'!B4:M18,15,FALSE),""))</f>
        <v>0</v>
      </c>
      <c r="E3" s="85" t="str">
        <v>Transp./ Carro</v>
      </c>
      <c r="F3" s="86">
        <f ca="1"/>
        <v>0</v>
      </c>
      <c r="H3" s="77"/>
    </row>
    <row r="4" spans="1:12" ht="3.6" customHeight="1" x14ac:dyDescent="0.4">
      <c r="B4" s="77"/>
      <c r="C4" s="77"/>
      <c r="E4" s="85" t="str">
        <v>Condomínio</v>
      </c>
      <c r="F4" s="86">
        <f ca="1"/>
        <v>0</v>
      </c>
      <c r="H4" s="77"/>
    </row>
    <row r="5" spans="1:12" ht="14.25" customHeight="1" x14ac:dyDescent="0.4">
      <c r="B5" s="61" t="s">
        <v>83</v>
      </c>
      <c r="C5" s="61">
        <f ca="1">TODAY()</f>
        <v>46128</v>
      </c>
      <c r="E5" s="85" t="str">
        <v>Curso</v>
      </c>
      <c r="F5" s="86">
        <f ca="1"/>
        <v>0</v>
      </c>
      <c r="H5" s="77"/>
      <c r="K5" s="61" t="s">
        <v>68</v>
      </c>
      <c r="L5" s="61">
        <f ca="1">EOMONTH(TODAY(),0)+1</f>
        <v>46143</v>
      </c>
    </row>
    <row r="6" spans="1:12" ht="14.25" customHeight="1" x14ac:dyDescent="0.4">
      <c r="B6" s="95" t="s">
        <v>4</v>
      </c>
      <c r="C6" s="63">
        <f ca="1">SUM(C7:C9)-SUM(C11:C12)</f>
        <v>0</v>
      </c>
      <c r="E6" s="85" t="str">
        <v>Eletrônicos</v>
      </c>
      <c r="F6" s="86">
        <f ca="1"/>
        <v>0</v>
      </c>
      <c r="H6" s="77"/>
      <c r="K6" s="95" t="s">
        <v>4</v>
      </c>
      <c r="L6" s="63">
        <f ca="1">SUM(L7:L9)-SUM(L11:L12)</f>
        <v>0</v>
      </c>
    </row>
    <row r="7" spans="1:12" ht="14.25" customHeight="1" x14ac:dyDescent="0.4">
      <c r="B7" s="96" t="str" cm="1">
        <f t="array" ref="B7:B12">Contas</f>
        <v>Banco 1</v>
      </c>
      <c r="C7" s="63" cm="1">
        <f t="array" aca="1" ref="C7" ca="1">ROUND(SUM(SUMIFS(Tabela1[Valor],Tabela1[Operação],{"Receitas";"Transferir"},Tabela1[Conta],B7,Tabela1[Data],"&lt;="&amp;(IF(ISBLANK($C$5),TODAY(),$C$5))))-SUMIFS(Tabela1[Valor],Tabela1[Operação],"&lt;&gt;Receitas",Tabela1[Operação],"&lt;&gt;Transferir",Tabela1[Conta],B7,Tabela1[Data],"&lt;="&amp;(IF(ISBLANK($C$5),TODAY(),$C$5))) -SUMIFS(Tabela1[Valor],Tabela1[Categoria],B7,Tabela1[Data],"&lt;="&amp;(IF(ISBLANK($C$5),TODAY(),$C$5)))+VLOOKUP(B7,'Validação de Dados'!$B$5:$C$10,2,FALSE),2)</f>
        <v>0</v>
      </c>
      <c r="E7" s="85" t="str">
        <v>Farm. e Saúde.</v>
      </c>
      <c r="F7" s="86">
        <f ca="1"/>
        <v>0</v>
      </c>
      <c r="H7" s="77"/>
      <c r="K7" s="96" t="str" cm="1">
        <f t="array" ref="K7:K12">Contas</f>
        <v>Banco 1</v>
      </c>
      <c r="L7" s="63" cm="1">
        <f t="array" aca="1" ref="L7" ca="1">ROUND(SUM(SUMIFS(Tabela1[Valor],Tabela1[Operação],{"Receitas";"Transferir"},Tabela1[Conta],K7,Tabela1[Data],"&lt;="&amp;(IF(ISBLANK($L$5),TODAY(),$L$5))))-SUMIFS(Tabela1[Valor],Tabela1[Operação],"&lt;&gt;Receitas",Tabela1[Operação],"&lt;&gt;Transferir",Tabela1[Conta],K7,Tabela1[Data],"&lt;="&amp;(IF(ISBLANK($L$5),TODAY(),$L$5))) -SUMIFS(Tabela1[Valor],Tabela1[Categoria],K7,Tabela1[Data],"&lt;="&amp;(IF(ISBLANK($L$5),TODAY(),$L$5)))+VLOOKUP(K7,'Validação de Dados'!$B$5:$C$10,2,FALSE),2)</f>
        <v>0</v>
      </c>
    </row>
    <row r="8" spans="1:12" ht="14.25" customHeight="1" x14ac:dyDescent="0.4">
      <c r="B8" s="96" t="str">
        <v>Banco 2</v>
      </c>
      <c r="C8" s="63" cm="1">
        <f t="array" aca="1" ref="C8" ca="1">ROUND(SUM(SUMIFS(Tabela1[Valor],Tabela1[Operação],{"Receitas";"Transferir"},Tabela1[Conta],B8,Tabela1[Data],"&lt;="&amp;(IF(ISBLANK($C$5),TODAY(),$C$5))))-SUMIFS(Tabela1[Valor],Tabela1[Operação],"&lt;&gt;Receitas",Tabela1[Operação],"&lt;&gt;Transferir",Tabela1[Conta],B8,Tabela1[Data],"&lt;="&amp;(IF(ISBLANK($C$5),TODAY(),$C$5))) -SUMIFS(Tabela1[Valor],Tabela1[Categoria],B8,Tabela1[Data],"&lt;="&amp;(IF(ISBLANK($C$5),TODAY(),$C$5)))+VLOOKUP(B8,'Validação de Dados'!$B$5:$C$10,2,FALSE),2)</f>
        <v>0</v>
      </c>
      <c r="E8" s="85" t="str">
        <v>G. Residencial</v>
      </c>
      <c r="F8" s="86">
        <f ca="1"/>
        <v>0</v>
      </c>
      <c r="H8" s="77"/>
      <c r="K8" s="96" t="str">
        <v>Banco 2</v>
      </c>
      <c r="L8" s="63" cm="1">
        <f t="array" aca="1" ref="L8" ca="1">ROUND(SUM(SUMIFS(Tabela1[Valor],Tabela1[Operação],{"Receitas";"Transferir"},Tabela1[Conta],K8,Tabela1[Data],"&lt;="&amp;(IF(ISBLANK($L$5),TODAY(),$L$5))))-SUMIFS(Tabela1[Valor],Tabela1[Operação],"&lt;&gt;Receitas",Tabela1[Operação],"&lt;&gt;Transferir",Tabela1[Conta],K8,Tabela1[Data],"&lt;="&amp;(IF(ISBLANK($L$5),TODAY(),$L$5))) -SUMIFS(Tabela1[Valor],Tabela1[Categoria],K8,Tabela1[Data],"&lt;="&amp;(IF(ISBLANK($L$5),TODAY(),$L$5)))+VLOOKUP(K8,'Validação de Dados'!$B$5:$C$10,2,FALSE),2)</f>
        <v>0</v>
      </c>
    </row>
    <row r="9" spans="1:12" ht="14.25" customHeight="1" x14ac:dyDescent="0.4">
      <c r="A9" s="76"/>
      <c r="B9" s="96" t="str">
        <v>Dinheiro</v>
      </c>
      <c r="C9" s="63" cm="1">
        <f t="array" aca="1" ref="C9" ca="1">ROUND(SUM(SUMIFS(Tabela1[Valor],Tabela1[Operação],{"Receitas";"Transferir"},Tabela1[Conta],B9,Tabela1[Data],"&lt;="&amp;(IF(ISBLANK($C$5),TODAY(),$C$5))))-SUMIFS(Tabela1[Valor],Tabela1[Operação],"&lt;&gt;Receitas",Tabela1[Operação],"&lt;&gt;Transferir",Tabela1[Conta],B9,Tabela1[Data],"&lt;="&amp;(IF(ISBLANK($C$5),TODAY(),$C$5)))-SUMIFS(Tabela1[Valor],Tabela1[Categoria],B9,Tabela1[Data],"&lt;="&amp;(IF(ISBLANK($C$5),TODAY(),$C$5)))+VLOOKUP(B9,'Validação de Dados'!$B$5:$C$10,2,FALSE),2)</f>
        <v>0</v>
      </c>
      <c r="E9" s="85" t="str">
        <v>Gasolina</v>
      </c>
      <c r="F9" s="86">
        <f ca="1"/>
        <v>0</v>
      </c>
      <c r="H9" s="77"/>
      <c r="K9" s="96" t="str">
        <v>Dinheiro</v>
      </c>
      <c r="L9" s="63" cm="1">
        <f t="array" aca="1" ref="L9" ca="1">ROUND(SUM(SUMIFS(Tabela1[Valor],Tabela1[Operação],{"Receitas";"Transferir"},Tabela1[Conta],K9,Tabela1[Data],"&lt;="&amp;(IF(ISBLANK($L$5),TODAY(),$L$5))))-SUMIFS(Tabela1[Valor],Tabela1[Operação],"&lt;&gt;Receitas",Tabela1[Operação],"&lt;&gt;Transferir",Tabela1[Conta],K9,Tabela1[Data],"&lt;="&amp;(IF(ISBLANK($L$5),TODAY(),$L$5))) -SUMIFS(Tabela1[Valor],Tabela1[Categoria],K9,Tabela1[Data],"&lt;="&amp;(IF(ISBLANK($L$5),TODAY(),$L$5)))+VLOOKUP(K9,'Validação de Dados'!$B$5:$C$10,2,FALSE),2)</f>
        <v>0</v>
      </c>
    </row>
    <row r="10" spans="1:12" ht="14.25" customHeight="1" x14ac:dyDescent="0.4">
      <c r="A10" s="76"/>
      <c r="B10" s="96" t="str">
        <v>Savings</v>
      </c>
      <c r="C10" s="63" cm="1">
        <f t="array" aca="1" ref="C10" ca="1">ROUND(SUM(SUMIFS(Tabela1[Valor],Tabela1[Operação],{"Receitas";"Transferir"},Tabela1[Conta],B10,Tabela1[Data],"&lt;="&amp;(IF(ISBLANK($C$5),TODAY(),$C$5))))-SUMIFS(Tabela1[Valor],Tabela1[Operação],"&lt;&gt;Receitas",Tabela1[Operação],"&lt;&gt;Transferir",Tabela1[Conta],B10,Tabela1[Data],"&lt;="&amp;(IF(ISBLANK($C$5),TODAY(),$C$5)))-SUMIFS(Tabela1[Valor],Tabela1[Categoria],B10,Tabela1[Data],"&lt;="&amp;(IF(ISBLANK($C$5),TODAY(),$C$5)))+VLOOKUP(B10,'Validação de Dados'!$B$5:$C$10,2,FALSE),2)</f>
        <v>0</v>
      </c>
      <c r="E10" s="85" t="str">
        <v>Jogos/ Livros</v>
      </c>
      <c r="F10" s="86">
        <f ca="1"/>
        <v>0</v>
      </c>
      <c r="H10" s="77"/>
      <c r="K10" s="96" t="str">
        <v>Savings</v>
      </c>
      <c r="L10" s="63" cm="1">
        <f t="array" aca="1" ref="L10" ca="1">ROUND(SUM(SUMIFS(Tabela1[Valor],Tabela1[Operação],{"Receitas";"Transferir"},Tabela1[Conta],K10,Tabela1[Data],"&lt;="&amp;(IF(ISBLANK($L$5),TODAY(),$L$5))))-SUMIFS(Tabela1[Valor],Tabela1[Operação],"&lt;&gt;Receitas",Tabela1[Operação],"&lt;&gt;Transferir",Tabela1[Conta],K10,Tabela1[Data],"&lt;="&amp;(IF(ISBLANK($L$5),TODAY(),$L$5))) -SUMIFS(Tabela1[Valor],Tabela1[Categoria],K10,Tabela1[Data],"&lt;="&amp;(IF(ISBLANK($L$5),TODAY(),$L$5)))+VLOOKUP(K10,'Validação de Dados'!$B$5:$C$10,2,FALSE),2)</f>
        <v>0</v>
      </c>
    </row>
    <row r="11" spans="1:12" ht="14.25" customHeight="1" x14ac:dyDescent="0.4">
      <c r="A11" s="76"/>
      <c r="B11" s="96" t="str">
        <v>Dívidas</v>
      </c>
      <c r="C11" s="26">
        <f ca="1">ROUND(SUMIFS(Tabela1[Valor],Tabela1[Operação],"Despesas",Tabela1[Conta],B11,Tabela1[Data],"&lt;="&amp;(IF(ISBLANK($C$5),TODAY(),$C$5)))-SUMIFS(Tabela1[Valor],Tabela1[Operação],"Pagamento",Tabela1[Categoria],B11,Tabela1[Data],"&lt;="&amp;(IF(ISBLANK($C$5),TODAY(),$C$5)))+VLOOKUP(B11,'Validação de Dados'!$B$5:$C$10,2,FALSE),2)</f>
        <v>0</v>
      </c>
      <c r="E11" s="85" t="str">
        <v>Rolê/ Entret.</v>
      </c>
      <c r="F11" s="86">
        <f ca="1"/>
        <v>0</v>
      </c>
      <c r="H11" s="77"/>
      <c r="K11" s="96" t="str">
        <v>Dívidas</v>
      </c>
      <c r="L11" s="26">
        <f ca="1">ROUND(SUMIFS(Tabela1[Valor],Tabela1[Operação],"Despesas",Tabela1[Conta],K11,Tabela1[Data],"&lt;="&amp;(IF(ISBLANK($L$5),TODAY(),$L$5)))-SUMIFS(Tabela1[Valor],Tabela1[Operação],"Pagamento",Tabela1[Categoria],K11,Tabela1[Data],"&lt;="&amp;(IF(ISBLANK($L$5),TODAY(),$L$5)))+VLOOKUP(K11,'Validação de Dados'!$B$5:$C$10,2,FALSE),2)</f>
        <v>0</v>
      </c>
    </row>
    <row r="12" spans="1:12" ht="14.25" customHeight="1" x14ac:dyDescent="0.4">
      <c r="A12" s="76"/>
      <c r="B12" s="96" t="str">
        <v>C. Crédito</v>
      </c>
      <c r="C12" s="26">
        <f ca="1">ROUND(SUMIFS(Tabela1[Valor],Tabela1[Operação],"Despesas",Tabela1[Conta],B12,Tabela1[Data],"&lt;="&amp;(IF(ISBLANK($C$5),TODAY(),$C$5)))-SUMIFS(Tabela1[Valor],Tabela1[Operação],"Pagamento",Tabela1[Categoria],B12,Tabela1[Data],"&lt;="&amp;(IF(ISBLANK($C$5),TODAY(),$C$5)))+VLOOKUP(B12,'Validação de Dados'!$B$5:$C$10,2,FALSE),2)</f>
        <v>0</v>
      </c>
      <c r="E12" s="85" t="str">
        <v>Roupas</v>
      </c>
      <c r="F12" s="86">
        <f ca="1"/>
        <v>0</v>
      </c>
      <c r="H12" s="77"/>
      <c r="K12" s="96" t="str">
        <v>C. Crédito</v>
      </c>
      <c r="L12" s="26">
        <f ca="1">ROUND(SUMIFS(Tabela1[Valor],Tabela1[Operação],"Despesas",Tabela1[Conta],K12,Tabela1[Data],"&lt;="&amp;(IF(ISBLANK($L$5),TODAY(),$L$5)))-SUMIFS(Tabela1[Valor],Tabela1[Operação],"Pagamento",Tabela1[Categoria],K12,Tabela1[Data],"&lt;="&amp;(IF(ISBLANK($L$5),TODAY(),$L$5)))+VLOOKUP(K12,'Validação de Dados'!$B$5:$C$10,2,FALSE),2)</f>
        <v>0</v>
      </c>
    </row>
    <row r="13" spans="1:12" ht="3.6" customHeight="1" x14ac:dyDescent="0.4">
      <c r="A13" s="76"/>
      <c r="B13" s="76"/>
      <c r="E13" s="85" t="str">
        <v>G. Gerais</v>
      </c>
      <c r="F13" s="86">
        <f ca="1"/>
        <v>0</v>
      </c>
      <c r="H13" s="77"/>
      <c r="K13" s="38"/>
      <c r="L13" s="97"/>
    </row>
    <row r="14" spans="1:12" ht="14.25" customHeight="1" x14ac:dyDescent="0.4">
      <c r="B14" s="61" t="str">
        <f ca="1">PROPER(TEXT(EOMONTH(TODAY(),1),"MMMM"))</f>
        <v>Maio</v>
      </c>
      <c r="C14" s="26">
        <f ca="1">L6</f>
        <v>0</v>
      </c>
      <c r="E14" s="85"/>
      <c r="F14" s="87"/>
      <c r="H14" s="77"/>
    </row>
    <row r="15" spans="1:12" ht="3.6" customHeight="1" x14ac:dyDescent="0.4">
      <c r="A15" s="83"/>
      <c r="H15" s="77"/>
    </row>
    <row r="16" spans="1:12" ht="14.25" customHeight="1" x14ac:dyDescent="0.4">
      <c r="A16" s="89">
        <f>SUBTOTAL(2,Tabela1[Data])</f>
        <v>0</v>
      </c>
      <c r="B16" s="64" t="s">
        <v>30</v>
      </c>
      <c r="C16" s="65" t="s">
        <v>0</v>
      </c>
      <c r="D16" s="65" t="s">
        <v>35</v>
      </c>
      <c r="E16" s="66" t="s">
        <v>31</v>
      </c>
      <c r="F16" s="66" t="s">
        <v>69</v>
      </c>
      <c r="G16" s="67" t="s">
        <v>25</v>
      </c>
      <c r="H16" s="66" t="s">
        <v>13</v>
      </c>
    </row>
    <row r="17" spans="2:8" x14ac:dyDescent="0.4">
      <c r="B17" s="68"/>
      <c r="C17" s="69" t="str">
        <f>IF(ISBLANK(B17),"",PROPER(TEXT(B17,"MMMM")))</f>
        <v/>
      </c>
      <c r="D17" s="69"/>
      <c r="E17" s="70"/>
      <c r="F17" s="70"/>
      <c r="G17" s="71"/>
      <c r="H17" s="72"/>
    </row>
    <row r="18" spans="2:8" x14ac:dyDescent="0.4">
      <c r="B18" s="68"/>
      <c r="C18" s="69" t="str">
        <f>IF(ISBLANK(B18),"",PROPER(TEXT(B18,"MMMM")))</f>
        <v/>
      </c>
      <c r="D18" s="69"/>
      <c r="E18" s="70"/>
      <c r="F18" s="70"/>
      <c r="G18" s="71"/>
      <c r="H18" s="72"/>
    </row>
    <row r="19" spans="2:8" x14ac:dyDescent="0.4">
      <c r="B19" s="68"/>
      <c r="C19" s="69" t="str">
        <f>IF(ISBLANK(B19),"",PROPER(TEXT(B19,"MMMM")))</f>
        <v/>
      </c>
      <c r="D19" s="69"/>
      <c r="E19" s="70"/>
      <c r="F19" s="70"/>
      <c r="G19" s="71"/>
      <c r="H19" s="72" t="s">
        <v>88</v>
      </c>
    </row>
    <row r="124" spans="7:7" x14ac:dyDescent="0.4">
      <c r="G124" s="78"/>
    </row>
    <row r="126" spans="7:7" x14ac:dyDescent="0.4">
      <c r="G126" s="78"/>
    </row>
    <row r="127" spans="7:7" x14ac:dyDescent="0.4">
      <c r="G127" s="78"/>
    </row>
    <row r="128" spans="7:7" x14ac:dyDescent="0.4">
      <c r="G128" s="78"/>
    </row>
    <row r="129" spans="7:7" x14ac:dyDescent="0.4">
      <c r="G129" s="78"/>
    </row>
    <row r="235" spans="3:7" x14ac:dyDescent="0.4">
      <c r="C235" s="76" t="str">
        <f>IF(ISBLANK(B235),"",PROPER(TEXT(B235,"MMMM")))</f>
        <v/>
      </c>
    </row>
    <row r="236" spans="3:7" x14ac:dyDescent="0.4">
      <c r="C236" s="76" t="str">
        <f>IF(ISBLANK(B236),"",PROPER(TEXT(B236,"MMMM")))</f>
        <v/>
      </c>
      <c r="G236" s="81"/>
    </row>
    <row r="245" spans="3:7" x14ac:dyDescent="0.4">
      <c r="C245" s="76" t="str">
        <f>IF(ISBLANK(B245),"",PROPER(TEXT(B245,"MMMM")))</f>
        <v/>
      </c>
      <c r="D245" s="76" t="str">
        <f t="shared" ref="D245:G245" si="0">IF(ISBLANK(C245),"",PROPER(TEXT(C245,"MMMM")))</f>
        <v/>
      </c>
      <c r="E245" s="76" t="str">
        <f t="shared" si="0"/>
        <v/>
      </c>
      <c r="F245" s="76" t="str">
        <f t="shared" si="0"/>
        <v/>
      </c>
      <c r="G245" s="76" t="str">
        <f t="shared" si="0"/>
        <v/>
      </c>
    </row>
    <row r="254" spans="3:7" x14ac:dyDescent="0.4">
      <c r="C254" s="76" t="str">
        <f t="shared" ref="C254" si="1">IF(ISBLANK(B254),"",PROPER(TEXT(B254,"MMMM")))</f>
        <v/>
      </c>
    </row>
    <row r="255" spans="3:7" x14ac:dyDescent="0.4">
      <c r="C255" s="76" t="str">
        <f t="shared" ref="C255:C269" si="2">IF(ISBLANK(B255),"",PROPER(TEXT(B255,"MMMM")))</f>
        <v/>
      </c>
    </row>
    <row r="256" spans="3:7" x14ac:dyDescent="0.4">
      <c r="C256" s="76" t="str">
        <f t="shared" ref="C256:C266" si="3">IF(ISBLANK(B256),"",PROPER(TEXT(B256,"MMMM")))</f>
        <v/>
      </c>
    </row>
    <row r="257" spans="2:8" x14ac:dyDescent="0.4">
      <c r="C257" s="76" t="str">
        <f t="shared" si="3"/>
        <v/>
      </c>
    </row>
    <row r="258" spans="2:8" x14ac:dyDescent="0.4">
      <c r="C258" s="76" t="str">
        <f t="shared" si="3"/>
        <v/>
      </c>
    </row>
    <row r="259" spans="2:8" x14ac:dyDescent="0.4">
      <c r="C259" s="76" t="str">
        <f t="shared" si="3"/>
        <v/>
      </c>
    </row>
    <row r="260" spans="2:8" x14ac:dyDescent="0.4">
      <c r="C260" s="76" t="str">
        <f t="shared" si="3"/>
        <v/>
      </c>
    </row>
    <row r="261" spans="2:8" x14ac:dyDescent="0.4">
      <c r="C261" s="76" t="str">
        <f t="shared" si="3"/>
        <v/>
      </c>
    </row>
    <row r="262" spans="2:8" x14ac:dyDescent="0.4">
      <c r="C262" s="76" t="str">
        <f t="shared" si="3"/>
        <v/>
      </c>
    </row>
    <row r="263" spans="2:8" x14ac:dyDescent="0.4">
      <c r="C263" s="76" t="str">
        <f t="shared" si="3"/>
        <v/>
      </c>
    </row>
    <row r="264" spans="2:8" x14ac:dyDescent="0.4">
      <c r="C264" s="76" t="str">
        <f t="shared" si="3"/>
        <v/>
      </c>
    </row>
    <row r="265" spans="2:8" x14ac:dyDescent="0.4">
      <c r="C265" s="76" t="str">
        <f t="shared" si="3"/>
        <v/>
      </c>
    </row>
    <row r="266" spans="2:8" x14ac:dyDescent="0.4">
      <c r="C266" s="76" t="str">
        <f t="shared" si="3"/>
        <v/>
      </c>
    </row>
    <row r="267" spans="2:8" x14ac:dyDescent="0.4">
      <c r="C267" s="76" t="str">
        <f t="shared" si="2"/>
        <v/>
      </c>
    </row>
    <row r="268" spans="2:8" x14ac:dyDescent="0.4">
      <c r="C268" s="76" t="str">
        <f t="shared" si="2"/>
        <v/>
      </c>
    </row>
    <row r="269" spans="2:8" x14ac:dyDescent="0.4">
      <c r="C269" s="76" t="str">
        <f t="shared" si="2"/>
        <v/>
      </c>
      <c r="G269" s="78"/>
      <c r="H269" s="82"/>
    </row>
    <row r="270" spans="2:8" x14ac:dyDescent="0.4">
      <c r="B270" s="77"/>
      <c r="C270" s="77"/>
      <c r="D270" s="77"/>
      <c r="E270" s="83"/>
      <c r="F270" s="83"/>
      <c r="G270" s="78"/>
      <c r="H270" s="82"/>
    </row>
    <row r="271" spans="2:8" x14ac:dyDescent="0.4">
      <c r="B271" s="77"/>
      <c r="C271" s="77"/>
      <c r="D271" s="77"/>
      <c r="E271" s="83"/>
      <c r="F271" s="83"/>
      <c r="G271" s="78"/>
      <c r="H271" s="82"/>
    </row>
    <row r="272" spans="2:8" x14ac:dyDescent="0.4">
      <c r="B272" s="77"/>
      <c r="C272" s="77"/>
      <c r="D272" s="77"/>
      <c r="E272" s="83"/>
      <c r="F272" s="83"/>
      <c r="G272" s="78"/>
      <c r="H272" s="82"/>
    </row>
    <row r="273" spans="2:8" x14ac:dyDescent="0.4">
      <c r="B273" s="77"/>
      <c r="C273" s="84"/>
      <c r="D273" s="84"/>
      <c r="E273" s="83"/>
      <c r="F273" s="83"/>
      <c r="G273" s="78"/>
      <c r="H273" s="82"/>
    </row>
    <row r="274" spans="2:8" x14ac:dyDescent="0.4">
      <c r="B274" s="77"/>
      <c r="C274" s="77"/>
      <c r="D274" s="77"/>
      <c r="G274" s="77"/>
    </row>
    <row r="275" spans="2:8" x14ac:dyDescent="0.4">
      <c r="B275" s="77"/>
      <c r="C275" s="77"/>
      <c r="D275" s="77"/>
      <c r="G275" s="77"/>
    </row>
    <row r="276" spans="2:8" x14ac:dyDescent="0.4">
      <c r="B276" s="77"/>
      <c r="C276" s="77"/>
      <c r="D276" s="77"/>
      <c r="G276" s="77"/>
    </row>
    <row r="277" spans="2:8" x14ac:dyDescent="0.4">
      <c r="B277" s="77"/>
      <c r="C277" s="77"/>
      <c r="D277" s="77"/>
      <c r="G277" s="77"/>
    </row>
    <row r="278" spans="2:8" x14ac:dyDescent="0.4">
      <c r="B278" s="77"/>
      <c r="C278" s="77"/>
      <c r="D278" s="77"/>
      <c r="G278" s="77"/>
    </row>
    <row r="279" spans="2:8" x14ac:dyDescent="0.4">
      <c r="B279" s="77"/>
      <c r="C279" s="77"/>
      <c r="D279" s="77"/>
      <c r="G279" s="77"/>
    </row>
    <row r="280" spans="2:8" x14ac:dyDescent="0.4">
      <c r="B280" s="77"/>
      <c r="C280" s="77"/>
      <c r="D280" s="77"/>
      <c r="G280" s="77"/>
    </row>
    <row r="281" spans="2:8" x14ac:dyDescent="0.4">
      <c r="C281" s="76" t="str">
        <f t="shared" ref="C281:C339" si="4">IF(ISBLANK(B281),"",PROPER(TEXT(B281,"MMMM")))</f>
        <v/>
      </c>
    </row>
    <row r="282" spans="2:8" x14ac:dyDescent="0.4">
      <c r="C282" s="76" t="str">
        <f t="shared" si="4"/>
        <v/>
      </c>
    </row>
    <row r="283" spans="2:8" x14ac:dyDescent="0.4">
      <c r="C283" s="76" t="str">
        <f t="shared" si="4"/>
        <v/>
      </c>
    </row>
    <row r="284" spans="2:8" x14ac:dyDescent="0.4">
      <c r="C284" s="76" t="str">
        <f t="shared" si="4"/>
        <v/>
      </c>
    </row>
    <row r="285" spans="2:8" x14ac:dyDescent="0.4">
      <c r="C285" s="76" t="str">
        <f t="shared" si="4"/>
        <v/>
      </c>
    </row>
    <row r="286" spans="2:8" x14ac:dyDescent="0.4">
      <c r="C286" s="76" t="str">
        <f t="shared" si="4"/>
        <v/>
      </c>
    </row>
    <row r="287" spans="2:8" x14ac:dyDescent="0.4">
      <c r="C287" s="76" t="str">
        <f t="shared" si="4"/>
        <v/>
      </c>
    </row>
    <row r="288" spans="2:8" x14ac:dyDescent="0.4">
      <c r="C288" s="76" t="str">
        <f t="shared" si="4"/>
        <v/>
      </c>
    </row>
    <row r="289" spans="3:3" x14ac:dyDescent="0.4">
      <c r="C289" s="76" t="str">
        <f t="shared" si="4"/>
        <v/>
      </c>
    </row>
    <row r="290" spans="3:3" x14ac:dyDescent="0.4">
      <c r="C290" s="76" t="str">
        <f t="shared" si="4"/>
        <v/>
      </c>
    </row>
    <row r="291" spans="3:3" x14ac:dyDescent="0.4">
      <c r="C291" s="76" t="str">
        <f t="shared" si="4"/>
        <v/>
      </c>
    </row>
    <row r="292" spans="3:3" x14ac:dyDescent="0.4">
      <c r="C292" s="76" t="str">
        <f t="shared" si="4"/>
        <v/>
      </c>
    </row>
    <row r="293" spans="3:3" x14ac:dyDescent="0.4">
      <c r="C293" s="76" t="str">
        <f t="shared" si="4"/>
        <v/>
      </c>
    </row>
    <row r="294" spans="3:3" x14ac:dyDescent="0.4">
      <c r="C294" s="76" t="str">
        <f t="shared" si="4"/>
        <v/>
      </c>
    </row>
    <row r="295" spans="3:3" x14ac:dyDescent="0.4">
      <c r="C295" s="76" t="str">
        <f t="shared" si="4"/>
        <v/>
      </c>
    </row>
    <row r="296" spans="3:3" x14ac:dyDescent="0.4">
      <c r="C296" s="76" t="str">
        <f t="shared" si="4"/>
        <v/>
      </c>
    </row>
    <row r="297" spans="3:3" x14ac:dyDescent="0.4">
      <c r="C297" s="76" t="str">
        <f t="shared" si="4"/>
        <v/>
      </c>
    </row>
    <row r="298" spans="3:3" x14ac:dyDescent="0.4">
      <c r="C298" s="76" t="str">
        <f t="shared" si="4"/>
        <v/>
      </c>
    </row>
    <row r="299" spans="3:3" x14ac:dyDescent="0.4">
      <c r="C299" s="76" t="str">
        <f t="shared" si="4"/>
        <v/>
      </c>
    </row>
    <row r="300" spans="3:3" x14ac:dyDescent="0.4">
      <c r="C300" s="76" t="str">
        <f t="shared" si="4"/>
        <v/>
      </c>
    </row>
    <row r="301" spans="3:3" x14ac:dyDescent="0.4">
      <c r="C301" s="76" t="str">
        <f t="shared" si="4"/>
        <v/>
      </c>
    </row>
    <row r="302" spans="3:3" x14ac:dyDescent="0.4">
      <c r="C302" s="76" t="str">
        <f t="shared" si="4"/>
        <v/>
      </c>
    </row>
    <row r="303" spans="3:3" x14ac:dyDescent="0.4">
      <c r="C303" s="76" t="str">
        <f t="shared" si="4"/>
        <v/>
      </c>
    </row>
    <row r="304" spans="3:3" x14ac:dyDescent="0.4">
      <c r="C304" s="76" t="str">
        <f t="shared" si="4"/>
        <v/>
      </c>
    </row>
    <row r="305" spans="3:3" x14ac:dyDescent="0.4">
      <c r="C305" s="76" t="str">
        <f t="shared" si="4"/>
        <v/>
      </c>
    </row>
    <row r="306" spans="3:3" x14ac:dyDescent="0.4">
      <c r="C306" s="76" t="str">
        <f t="shared" si="4"/>
        <v/>
      </c>
    </row>
    <row r="307" spans="3:3" x14ac:dyDescent="0.4">
      <c r="C307" s="76" t="str">
        <f t="shared" si="4"/>
        <v/>
      </c>
    </row>
    <row r="308" spans="3:3" x14ac:dyDescent="0.4">
      <c r="C308" s="76" t="str">
        <f t="shared" si="4"/>
        <v/>
      </c>
    </row>
    <row r="309" spans="3:3" x14ac:dyDescent="0.4">
      <c r="C309" s="76" t="str">
        <f t="shared" si="4"/>
        <v/>
      </c>
    </row>
    <row r="310" spans="3:3" x14ac:dyDescent="0.4">
      <c r="C310" s="76" t="str">
        <f t="shared" si="4"/>
        <v/>
      </c>
    </row>
    <row r="311" spans="3:3" x14ac:dyDescent="0.4">
      <c r="C311" s="76" t="str">
        <f t="shared" si="4"/>
        <v/>
      </c>
    </row>
    <row r="312" spans="3:3" x14ac:dyDescent="0.4">
      <c r="C312" s="76" t="str">
        <f t="shared" si="4"/>
        <v/>
      </c>
    </row>
    <row r="313" spans="3:3" x14ac:dyDescent="0.4">
      <c r="C313" s="76" t="str">
        <f t="shared" si="4"/>
        <v/>
      </c>
    </row>
    <row r="314" spans="3:3" x14ac:dyDescent="0.4">
      <c r="C314" s="76" t="str">
        <f t="shared" si="4"/>
        <v/>
      </c>
    </row>
    <row r="315" spans="3:3" x14ac:dyDescent="0.4">
      <c r="C315" s="76" t="str">
        <f t="shared" si="4"/>
        <v/>
      </c>
    </row>
    <row r="316" spans="3:3" x14ac:dyDescent="0.4">
      <c r="C316" s="76" t="str">
        <f t="shared" si="4"/>
        <v/>
      </c>
    </row>
    <row r="317" spans="3:3" x14ac:dyDescent="0.4">
      <c r="C317" s="76" t="str">
        <f t="shared" si="4"/>
        <v/>
      </c>
    </row>
    <row r="318" spans="3:3" x14ac:dyDescent="0.4">
      <c r="C318" s="76" t="str">
        <f t="shared" si="4"/>
        <v/>
      </c>
    </row>
    <row r="319" spans="3:3" x14ac:dyDescent="0.4">
      <c r="C319" s="76" t="str">
        <f t="shared" si="4"/>
        <v/>
      </c>
    </row>
    <row r="320" spans="3:3" x14ac:dyDescent="0.4">
      <c r="C320" s="76" t="str">
        <f t="shared" si="4"/>
        <v/>
      </c>
    </row>
    <row r="321" spans="3:3" x14ac:dyDescent="0.4">
      <c r="C321" s="76" t="str">
        <f t="shared" si="4"/>
        <v/>
      </c>
    </row>
    <row r="322" spans="3:3" x14ac:dyDescent="0.4">
      <c r="C322" s="76" t="str">
        <f t="shared" si="4"/>
        <v/>
      </c>
    </row>
    <row r="323" spans="3:3" x14ac:dyDescent="0.4">
      <c r="C323" s="76" t="str">
        <f t="shared" si="4"/>
        <v/>
      </c>
    </row>
    <row r="324" spans="3:3" x14ac:dyDescent="0.4">
      <c r="C324" s="76" t="str">
        <f t="shared" si="4"/>
        <v/>
      </c>
    </row>
    <row r="325" spans="3:3" x14ac:dyDescent="0.4">
      <c r="C325" s="76" t="str">
        <f t="shared" si="4"/>
        <v/>
      </c>
    </row>
    <row r="326" spans="3:3" x14ac:dyDescent="0.4">
      <c r="C326" s="76" t="str">
        <f t="shared" si="4"/>
        <v/>
      </c>
    </row>
    <row r="327" spans="3:3" x14ac:dyDescent="0.4">
      <c r="C327" s="76" t="str">
        <f t="shared" si="4"/>
        <v/>
      </c>
    </row>
    <row r="328" spans="3:3" x14ac:dyDescent="0.4">
      <c r="C328" s="76" t="str">
        <f t="shared" si="4"/>
        <v/>
      </c>
    </row>
    <row r="329" spans="3:3" x14ac:dyDescent="0.4">
      <c r="C329" s="76" t="str">
        <f t="shared" si="4"/>
        <v/>
      </c>
    </row>
    <row r="330" spans="3:3" x14ac:dyDescent="0.4">
      <c r="C330" s="76" t="str">
        <f t="shared" si="4"/>
        <v/>
      </c>
    </row>
    <row r="331" spans="3:3" x14ac:dyDescent="0.4">
      <c r="C331" s="76" t="str">
        <f t="shared" si="4"/>
        <v/>
      </c>
    </row>
    <row r="332" spans="3:3" x14ac:dyDescent="0.4">
      <c r="C332" s="76" t="str">
        <f t="shared" si="4"/>
        <v/>
      </c>
    </row>
    <row r="333" spans="3:3" x14ac:dyDescent="0.4">
      <c r="C333" s="76" t="str">
        <f t="shared" si="4"/>
        <v/>
      </c>
    </row>
    <row r="334" spans="3:3" x14ac:dyDescent="0.4">
      <c r="C334" s="76" t="str">
        <f t="shared" si="4"/>
        <v/>
      </c>
    </row>
    <row r="335" spans="3:3" x14ac:dyDescent="0.4">
      <c r="C335" s="76" t="str">
        <f t="shared" si="4"/>
        <v/>
      </c>
    </row>
    <row r="336" spans="3:3" x14ac:dyDescent="0.4">
      <c r="C336" s="76" t="str">
        <f t="shared" si="4"/>
        <v/>
      </c>
    </row>
    <row r="337" spans="3:3" x14ac:dyDescent="0.4">
      <c r="C337" s="76" t="str">
        <f t="shared" si="4"/>
        <v/>
      </c>
    </row>
    <row r="338" spans="3:3" x14ac:dyDescent="0.4">
      <c r="C338" s="76" t="str">
        <f t="shared" si="4"/>
        <v/>
      </c>
    </row>
    <row r="339" spans="3:3" x14ac:dyDescent="0.4">
      <c r="C339" s="76" t="str">
        <f t="shared" si="4"/>
        <v/>
      </c>
    </row>
    <row r="340" spans="3:3" x14ac:dyDescent="0.4">
      <c r="C340" s="76" t="str">
        <f t="shared" ref="C340:C403" si="5">IF(ISBLANK(B340),"",PROPER(TEXT(B340,"MMMM")))</f>
        <v/>
      </c>
    </row>
    <row r="341" spans="3:3" x14ac:dyDescent="0.4">
      <c r="C341" s="76" t="str">
        <f t="shared" si="5"/>
        <v/>
      </c>
    </row>
    <row r="342" spans="3:3" x14ac:dyDescent="0.4">
      <c r="C342" s="76" t="str">
        <f t="shared" si="5"/>
        <v/>
      </c>
    </row>
    <row r="343" spans="3:3" x14ac:dyDescent="0.4">
      <c r="C343" s="76" t="str">
        <f t="shared" si="5"/>
        <v/>
      </c>
    </row>
    <row r="344" spans="3:3" x14ac:dyDescent="0.4">
      <c r="C344" s="76" t="str">
        <f t="shared" si="5"/>
        <v/>
      </c>
    </row>
    <row r="345" spans="3:3" x14ac:dyDescent="0.4">
      <c r="C345" s="76" t="str">
        <f t="shared" si="5"/>
        <v/>
      </c>
    </row>
    <row r="346" spans="3:3" x14ac:dyDescent="0.4">
      <c r="C346" s="76" t="str">
        <f t="shared" si="5"/>
        <v/>
      </c>
    </row>
    <row r="347" spans="3:3" x14ac:dyDescent="0.4">
      <c r="C347" s="76" t="str">
        <f t="shared" si="5"/>
        <v/>
      </c>
    </row>
    <row r="348" spans="3:3" x14ac:dyDescent="0.4">
      <c r="C348" s="76" t="str">
        <f t="shared" si="5"/>
        <v/>
      </c>
    </row>
    <row r="349" spans="3:3" x14ac:dyDescent="0.4">
      <c r="C349" s="76" t="str">
        <f t="shared" si="5"/>
        <v/>
      </c>
    </row>
    <row r="350" spans="3:3" x14ac:dyDescent="0.4">
      <c r="C350" s="76" t="str">
        <f t="shared" si="5"/>
        <v/>
      </c>
    </row>
    <row r="351" spans="3:3" x14ac:dyDescent="0.4">
      <c r="C351" s="76" t="str">
        <f t="shared" si="5"/>
        <v/>
      </c>
    </row>
    <row r="352" spans="3:3" x14ac:dyDescent="0.4">
      <c r="C352" s="76" t="str">
        <f t="shared" si="5"/>
        <v/>
      </c>
    </row>
    <row r="353" spans="3:3" x14ac:dyDescent="0.4">
      <c r="C353" s="76" t="str">
        <f t="shared" si="5"/>
        <v/>
      </c>
    </row>
    <row r="354" spans="3:3" x14ac:dyDescent="0.4">
      <c r="C354" s="76" t="str">
        <f t="shared" si="5"/>
        <v/>
      </c>
    </row>
    <row r="355" spans="3:3" x14ac:dyDescent="0.4">
      <c r="C355" s="76" t="str">
        <f t="shared" si="5"/>
        <v/>
      </c>
    </row>
    <row r="356" spans="3:3" x14ac:dyDescent="0.4">
      <c r="C356" s="76" t="str">
        <f t="shared" si="5"/>
        <v/>
      </c>
    </row>
    <row r="357" spans="3:3" x14ac:dyDescent="0.4">
      <c r="C357" s="76" t="str">
        <f t="shared" si="5"/>
        <v/>
      </c>
    </row>
    <row r="358" spans="3:3" x14ac:dyDescent="0.4">
      <c r="C358" s="76" t="str">
        <f t="shared" si="5"/>
        <v/>
      </c>
    </row>
    <row r="359" spans="3:3" x14ac:dyDescent="0.4">
      <c r="C359" s="76" t="str">
        <f t="shared" si="5"/>
        <v/>
      </c>
    </row>
    <row r="360" spans="3:3" x14ac:dyDescent="0.4">
      <c r="C360" s="76" t="str">
        <f t="shared" si="5"/>
        <v/>
      </c>
    </row>
    <row r="361" spans="3:3" x14ac:dyDescent="0.4">
      <c r="C361" s="76" t="str">
        <f t="shared" si="5"/>
        <v/>
      </c>
    </row>
    <row r="362" spans="3:3" x14ac:dyDescent="0.4">
      <c r="C362" s="76" t="str">
        <f t="shared" si="5"/>
        <v/>
      </c>
    </row>
    <row r="363" spans="3:3" x14ac:dyDescent="0.4">
      <c r="C363" s="76" t="str">
        <f t="shared" si="5"/>
        <v/>
      </c>
    </row>
    <row r="364" spans="3:3" x14ac:dyDescent="0.4">
      <c r="C364" s="76" t="str">
        <f t="shared" si="5"/>
        <v/>
      </c>
    </row>
    <row r="365" spans="3:3" x14ac:dyDescent="0.4">
      <c r="C365" s="76" t="str">
        <f t="shared" si="5"/>
        <v/>
      </c>
    </row>
    <row r="366" spans="3:3" x14ac:dyDescent="0.4">
      <c r="C366" s="76" t="str">
        <f t="shared" si="5"/>
        <v/>
      </c>
    </row>
    <row r="367" spans="3:3" x14ac:dyDescent="0.4">
      <c r="C367" s="76" t="str">
        <f t="shared" si="5"/>
        <v/>
      </c>
    </row>
    <row r="368" spans="3:3" x14ac:dyDescent="0.4">
      <c r="C368" s="76" t="str">
        <f t="shared" si="5"/>
        <v/>
      </c>
    </row>
    <row r="369" spans="3:3" x14ac:dyDescent="0.4">
      <c r="C369" s="76" t="str">
        <f t="shared" si="5"/>
        <v/>
      </c>
    </row>
    <row r="370" spans="3:3" x14ac:dyDescent="0.4">
      <c r="C370" s="76" t="str">
        <f t="shared" si="5"/>
        <v/>
      </c>
    </row>
    <row r="371" spans="3:3" x14ac:dyDescent="0.4">
      <c r="C371" s="76" t="str">
        <f t="shared" si="5"/>
        <v/>
      </c>
    </row>
    <row r="372" spans="3:3" x14ac:dyDescent="0.4">
      <c r="C372" s="76" t="str">
        <f t="shared" si="5"/>
        <v/>
      </c>
    </row>
    <row r="373" spans="3:3" x14ac:dyDescent="0.4">
      <c r="C373" s="76" t="str">
        <f t="shared" si="5"/>
        <v/>
      </c>
    </row>
    <row r="374" spans="3:3" x14ac:dyDescent="0.4">
      <c r="C374" s="76" t="str">
        <f t="shared" si="5"/>
        <v/>
      </c>
    </row>
    <row r="375" spans="3:3" x14ac:dyDescent="0.4">
      <c r="C375" s="76" t="str">
        <f t="shared" si="5"/>
        <v/>
      </c>
    </row>
    <row r="376" spans="3:3" x14ac:dyDescent="0.4">
      <c r="C376" s="76" t="str">
        <f t="shared" si="5"/>
        <v/>
      </c>
    </row>
    <row r="377" spans="3:3" x14ac:dyDescent="0.4">
      <c r="C377" s="76" t="str">
        <f t="shared" si="5"/>
        <v/>
      </c>
    </row>
    <row r="378" spans="3:3" x14ac:dyDescent="0.4">
      <c r="C378" s="76" t="str">
        <f t="shared" si="5"/>
        <v/>
      </c>
    </row>
    <row r="379" spans="3:3" x14ac:dyDescent="0.4">
      <c r="C379" s="76" t="str">
        <f t="shared" si="5"/>
        <v/>
      </c>
    </row>
    <row r="380" spans="3:3" x14ac:dyDescent="0.4">
      <c r="C380" s="76" t="str">
        <f t="shared" si="5"/>
        <v/>
      </c>
    </row>
    <row r="381" spans="3:3" x14ac:dyDescent="0.4">
      <c r="C381" s="76" t="str">
        <f t="shared" si="5"/>
        <v/>
      </c>
    </row>
    <row r="382" spans="3:3" x14ac:dyDescent="0.4">
      <c r="C382" s="76" t="str">
        <f t="shared" si="5"/>
        <v/>
      </c>
    </row>
    <row r="383" spans="3:3" x14ac:dyDescent="0.4">
      <c r="C383" s="76" t="str">
        <f t="shared" si="5"/>
        <v/>
      </c>
    </row>
    <row r="384" spans="3:3" x14ac:dyDescent="0.4">
      <c r="C384" s="76" t="str">
        <f t="shared" si="5"/>
        <v/>
      </c>
    </row>
    <row r="385" spans="3:3" x14ac:dyDescent="0.4">
      <c r="C385" s="76" t="str">
        <f t="shared" si="5"/>
        <v/>
      </c>
    </row>
    <row r="386" spans="3:3" x14ac:dyDescent="0.4">
      <c r="C386" s="76" t="str">
        <f t="shared" si="5"/>
        <v/>
      </c>
    </row>
    <row r="387" spans="3:3" x14ac:dyDescent="0.4">
      <c r="C387" s="76" t="str">
        <f t="shared" si="5"/>
        <v/>
      </c>
    </row>
    <row r="388" spans="3:3" x14ac:dyDescent="0.4">
      <c r="C388" s="76" t="str">
        <f t="shared" si="5"/>
        <v/>
      </c>
    </row>
    <row r="389" spans="3:3" x14ac:dyDescent="0.4">
      <c r="C389" s="76" t="str">
        <f t="shared" si="5"/>
        <v/>
      </c>
    </row>
    <row r="390" spans="3:3" x14ac:dyDescent="0.4">
      <c r="C390" s="76" t="str">
        <f t="shared" si="5"/>
        <v/>
      </c>
    </row>
    <row r="391" spans="3:3" x14ac:dyDescent="0.4">
      <c r="C391" s="76" t="str">
        <f t="shared" si="5"/>
        <v/>
      </c>
    </row>
    <row r="392" spans="3:3" x14ac:dyDescent="0.4">
      <c r="C392" s="76" t="str">
        <f t="shared" si="5"/>
        <v/>
      </c>
    </row>
    <row r="393" spans="3:3" x14ac:dyDescent="0.4">
      <c r="C393" s="76" t="str">
        <f t="shared" si="5"/>
        <v/>
      </c>
    </row>
    <row r="394" spans="3:3" x14ac:dyDescent="0.4">
      <c r="C394" s="76" t="str">
        <f t="shared" si="5"/>
        <v/>
      </c>
    </row>
    <row r="395" spans="3:3" x14ac:dyDescent="0.4">
      <c r="C395" s="76" t="str">
        <f t="shared" si="5"/>
        <v/>
      </c>
    </row>
    <row r="396" spans="3:3" x14ac:dyDescent="0.4">
      <c r="C396" s="76" t="str">
        <f t="shared" si="5"/>
        <v/>
      </c>
    </row>
    <row r="397" spans="3:3" x14ac:dyDescent="0.4">
      <c r="C397" s="76" t="str">
        <f t="shared" si="5"/>
        <v/>
      </c>
    </row>
    <row r="398" spans="3:3" x14ac:dyDescent="0.4">
      <c r="C398" s="76" t="str">
        <f t="shared" si="5"/>
        <v/>
      </c>
    </row>
    <row r="399" spans="3:3" x14ac:dyDescent="0.4">
      <c r="C399" s="76" t="str">
        <f t="shared" si="5"/>
        <v/>
      </c>
    </row>
    <row r="400" spans="3:3" x14ac:dyDescent="0.4">
      <c r="C400" s="76" t="str">
        <f t="shared" si="5"/>
        <v/>
      </c>
    </row>
    <row r="401" spans="3:3" x14ac:dyDescent="0.4">
      <c r="C401" s="76" t="str">
        <f t="shared" si="5"/>
        <v/>
      </c>
    </row>
    <row r="402" spans="3:3" x14ac:dyDescent="0.4">
      <c r="C402" s="76" t="str">
        <f t="shared" si="5"/>
        <v/>
      </c>
    </row>
    <row r="403" spans="3:3" x14ac:dyDescent="0.4">
      <c r="C403" s="76" t="str">
        <f t="shared" si="5"/>
        <v/>
      </c>
    </row>
    <row r="404" spans="3:3" x14ac:dyDescent="0.4">
      <c r="C404" s="76" t="str">
        <f t="shared" ref="C404:C467" si="6">IF(ISBLANK(B404),"",PROPER(TEXT(B404,"MMMM")))</f>
        <v/>
      </c>
    </row>
    <row r="405" spans="3:3" x14ac:dyDescent="0.4">
      <c r="C405" s="76" t="str">
        <f t="shared" si="6"/>
        <v/>
      </c>
    </row>
    <row r="406" spans="3:3" x14ac:dyDescent="0.4">
      <c r="C406" s="76" t="str">
        <f t="shared" si="6"/>
        <v/>
      </c>
    </row>
    <row r="407" spans="3:3" x14ac:dyDescent="0.4">
      <c r="C407" s="76" t="str">
        <f t="shared" si="6"/>
        <v/>
      </c>
    </row>
    <row r="408" spans="3:3" x14ac:dyDescent="0.4">
      <c r="C408" s="76" t="str">
        <f t="shared" si="6"/>
        <v/>
      </c>
    </row>
    <row r="409" spans="3:3" x14ac:dyDescent="0.4">
      <c r="C409" s="76" t="str">
        <f t="shared" si="6"/>
        <v/>
      </c>
    </row>
    <row r="410" spans="3:3" x14ac:dyDescent="0.4">
      <c r="C410" s="76" t="str">
        <f t="shared" si="6"/>
        <v/>
      </c>
    </row>
    <row r="411" spans="3:3" x14ac:dyDescent="0.4">
      <c r="C411" s="76" t="str">
        <f t="shared" si="6"/>
        <v/>
      </c>
    </row>
    <row r="412" spans="3:3" x14ac:dyDescent="0.4">
      <c r="C412" s="76" t="str">
        <f t="shared" si="6"/>
        <v/>
      </c>
    </row>
    <row r="413" spans="3:3" x14ac:dyDescent="0.4">
      <c r="C413" s="76" t="str">
        <f t="shared" si="6"/>
        <v/>
      </c>
    </row>
    <row r="414" spans="3:3" x14ac:dyDescent="0.4">
      <c r="C414" s="76" t="str">
        <f t="shared" si="6"/>
        <v/>
      </c>
    </row>
    <row r="415" spans="3:3" x14ac:dyDescent="0.4">
      <c r="C415" s="76" t="str">
        <f t="shared" si="6"/>
        <v/>
      </c>
    </row>
    <row r="416" spans="3:3" x14ac:dyDescent="0.4">
      <c r="C416" s="76" t="str">
        <f t="shared" si="6"/>
        <v/>
      </c>
    </row>
    <row r="417" spans="3:3" x14ac:dyDescent="0.4">
      <c r="C417" s="76" t="str">
        <f t="shared" si="6"/>
        <v/>
      </c>
    </row>
    <row r="418" spans="3:3" x14ac:dyDescent="0.4">
      <c r="C418" s="76" t="str">
        <f t="shared" si="6"/>
        <v/>
      </c>
    </row>
    <row r="419" spans="3:3" x14ac:dyDescent="0.4">
      <c r="C419" s="76" t="str">
        <f t="shared" si="6"/>
        <v/>
      </c>
    </row>
    <row r="420" spans="3:3" x14ac:dyDescent="0.4">
      <c r="C420" s="76" t="str">
        <f t="shared" si="6"/>
        <v/>
      </c>
    </row>
    <row r="421" spans="3:3" x14ac:dyDescent="0.4">
      <c r="C421" s="76" t="str">
        <f t="shared" si="6"/>
        <v/>
      </c>
    </row>
    <row r="422" spans="3:3" x14ac:dyDescent="0.4">
      <c r="C422" s="76" t="str">
        <f t="shared" si="6"/>
        <v/>
      </c>
    </row>
    <row r="423" spans="3:3" x14ac:dyDescent="0.4">
      <c r="C423" s="76" t="str">
        <f t="shared" si="6"/>
        <v/>
      </c>
    </row>
    <row r="424" spans="3:3" x14ac:dyDescent="0.4">
      <c r="C424" s="76" t="str">
        <f t="shared" si="6"/>
        <v/>
      </c>
    </row>
    <row r="425" spans="3:3" x14ac:dyDescent="0.4">
      <c r="C425" s="76" t="str">
        <f t="shared" si="6"/>
        <v/>
      </c>
    </row>
    <row r="426" spans="3:3" x14ac:dyDescent="0.4">
      <c r="C426" s="76" t="str">
        <f t="shared" si="6"/>
        <v/>
      </c>
    </row>
    <row r="427" spans="3:3" x14ac:dyDescent="0.4">
      <c r="C427" s="76" t="str">
        <f t="shared" si="6"/>
        <v/>
      </c>
    </row>
    <row r="428" spans="3:3" x14ac:dyDescent="0.4">
      <c r="C428" s="76" t="str">
        <f t="shared" si="6"/>
        <v/>
      </c>
    </row>
    <row r="429" spans="3:3" x14ac:dyDescent="0.4">
      <c r="C429" s="76" t="str">
        <f t="shared" si="6"/>
        <v/>
      </c>
    </row>
    <row r="430" spans="3:3" x14ac:dyDescent="0.4">
      <c r="C430" s="76" t="str">
        <f t="shared" si="6"/>
        <v/>
      </c>
    </row>
    <row r="431" spans="3:3" x14ac:dyDescent="0.4">
      <c r="C431" s="76" t="str">
        <f t="shared" si="6"/>
        <v/>
      </c>
    </row>
    <row r="432" spans="3:3" x14ac:dyDescent="0.4">
      <c r="C432" s="76" t="str">
        <f t="shared" si="6"/>
        <v/>
      </c>
    </row>
    <row r="433" spans="3:3" x14ac:dyDescent="0.4">
      <c r="C433" s="76" t="str">
        <f t="shared" si="6"/>
        <v/>
      </c>
    </row>
    <row r="434" spans="3:3" x14ac:dyDescent="0.4">
      <c r="C434" s="76" t="str">
        <f t="shared" si="6"/>
        <v/>
      </c>
    </row>
    <row r="435" spans="3:3" x14ac:dyDescent="0.4">
      <c r="C435" s="76" t="str">
        <f t="shared" si="6"/>
        <v/>
      </c>
    </row>
    <row r="436" spans="3:3" x14ac:dyDescent="0.4">
      <c r="C436" s="76" t="str">
        <f t="shared" si="6"/>
        <v/>
      </c>
    </row>
    <row r="437" spans="3:3" x14ac:dyDescent="0.4">
      <c r="C437" s="76" t="str">
        <f t="shared" si="6"/>
        <v/>
      </c>
    </row>
    <row r="438" spans="3:3" x14ac:dyDescent="0.4">
      <c r="C438" s="76" t="str">
        <f t="shared" si="6"/>
        <v/>
      </c>
    </row>
    <row r="439" spans="3:3" x14ac:dyDescent="0.4">
      <c r="C439" s="76" t="str">
        <f t="shared" si="6"/>
        <v/>
      </c>
    </row>
    <row r="440" spans="3:3" x14ac:dyDescent="0.4">
      <c r="C440" s="76" t="str">
        <f t="shared" si="6"/>
        <v/>
      </c>
    </row>
    <row r="441" spans="3:3" x14ac:dyDescent="0.4">
      <c r="C441" s="76" t="str">
        <f t="shared" si="6"/>
        <v/>
      </c>
    </row>
    <row r="442" spans="3:3" x14ac:dyDescent="0.4">
      <c r="C442" s="76" t="str">
        <f t="shared" si="6"/>
        <v/>
      </c>
    </row>
    <row r="443" spans="3:3" x14ac:dyDescent="0.4">
      <c r="C443" s="76" t="str">
        <f t="shared" si="6"/>
        <v/>
      </c>
    </row>
    <row r="444" spans="3:3" x14ac:dyDescent="0.4">
      <c r="C444" s="76" t="str">
        <f t="shared" si="6"/>
        <v/>
      </c>
    </row>
    <row r="445" spans="3:3" x14ac:dyDescent="0.4">
      <c r="C445" s="76" t="str">
        <f t="shared" si="6"/>
        <v/>
      </c>
    </row>
    <row r="446" spans="3:3" x14ac:dyDescent="0.4">
      <c r="C446" s="76" t="str">
        <f t="shared" si="6"/>
        <v/>
      </c>
    </row>
    <row r="447" spans="3:3" x14ac:dyDescent="0.4">
      <c r="C447" s="76" t="str">
        <f t="shared" si="6"/>
        <v/>
      </c>
    </row>
    <row r="448" spans="3:3" x14ac:dyDescent="0.4">
      <c r="C448" s="76" t="str">
        <f t="shared" si="6"/>
        <v/>
      </c>
    </row>
    <row r="449" spans="3:3" x14ac:dyDescent="0.4">
      <c r="C449" s="76" t="str">
        <f t="shared" si="6"/>
        <v/>
      </c>
    </row>
    <row r="450" spans="3:3" x14ac:dyDescent="0.4">
      <c r="C450" s="76" t="str">
        <f t="shared" si="6"/>
        <v/>
      </c>
    </row>
    <row r="451" spans="3:3" x14ac:dyDescent="0.4">
      <c r="C451" s="76" t="str">
        <f t="shared" si="6"/>
        <v/>
      </c>
    </row>
    <row r="452" spans="3:3" x14ac:dyDescent="0.4">
      <c r="C452" s="76" t="str">
        <f t="shared" si="6"/>
        <v/>
      </c>
    </row>
    <row r="453" spans="3:3" x14ac:dyDescent="0.4">
      <c r="C453" s="76" t="str">
        <f t="shared" si="6"/>
        <v/>
      </c>
    </row>
    <row r="454" spans="3:3" x14ac:dyDescent="0.4">
      <c r="C454" s="76" t="str">
        <f t="shared" si="6"/>
        <v/>
      </c>
    </row>
    <row r="455" spans="3:3" x14ac:dyDescent="0.4">
      <c r="C455" s="76" t="str">
        <f t="shared" si="6"/>
        <v/>
      </c>
    </row>
    <row r="456" spans="3:3" x14ac:dyDescent="0.4">
      <c r="C456" s="76" t="str">
        <f t="shared" si="6"/>
        <v/>
      </c>
    </row>
    <row r="457" spans="3:3" x14ac:dyDescent="0.4">
      <c r="C457" s="76" t="str">
        <f t="shared" si="6"/>
        <v/>
      </c>
    </row>
    <row r="458" spans="3:3" x14ac:dyDescent="0.4">
      <c r="C458" s="76" t="str">
        <f t="shared" si="6"/>
        <v/>
      </c>
    </row>
    <row r="459" spans="3:3" x14ac:dyDescent="0.4">
      <c r="C459" s="76" t="str">
        <f t="shared" si="6"/>
        <v/>
      </c>
    </row>
    <row r="460" spans="3:3" x14ac:dyDescent="0.4">
      <c r="C460" s="76" t="str">
        <f t="shared" si="6"/>
        <v/>
      </c>
    </row>
    <row r="461" spans="3:3" x14ac:dyDescent="0.4">
      <c r="C461" s="76" t="str">
        <f t="shared" si="6"/>
        <v/>
      </c>
    </row>
    <row r="462" spans="3:3" x14ac:dyDescent="0.4">
      <c r="C462" s="76" t="str">
        <f t="shared" si="6"/>
        <v/>
      </c>
    </row>
    <row r="463" spans="3:3" x14ac:dyDescent="0.4">
      <c r="C463" s="76" t="str">
        <f t="shared" si="6"/>
        <v/>
      </c>
    </row>
    <row r="464" spans="3:3" x14ac:dyDescent="0.4">
      <c r="C464" s="76" t="str">
        <f t="shared" si="6"/>
        <v/>
      </c>
    </row>
    <row r="465" spans="3:3" x14ac:dyDescent="0.4">
      <c r="C465" s="76" t="str">
        <f t="shared" si="6"/>
        <v/>
      </c>
    </row>
    <row r="466" spans="3:3" x14ac:dyDescent="0.4">
      <c r="C466" s="76" t="str">
        <f t="shared" si="6"/>
        <v/>
      </c>
    </row>
    <row r="467" spans="3:3" x14ac:dyDescent="0.4">
      <c r="C467" s="76" t="str">
        <f t="shared" si="6"/>
        <v/>
      </c>
    </row>
    <row r="468" spans="3:3" x14ac:dyDescent="0.4">
      <c r="C468" s="76" t="str">
        <f t="shared" ref="C468:C531" si="7">IF(ISBLANK(B468),"",PROPER(TEXT(B468,"MMMM")))</f>
        <v/>
      </c>
    </row>
    <row r="469" spans="3:3" x14ac:dyDescent="0.4">
      <c r="C469" s="76" t="str">
        <f t="shared" si="7"/>
        <v/>
      </c>
    </row>
    <row r="470" spans="3:3" x14ac:dyDescent="0.4">
      <c r="C470" s="76" t="str">
        <f t="shared" si="7"/>
        <v/>
      </c>
    </row>
    <row r="471" spans="3:3" x14ac:dyDescent="0.4">
      <c r="C471" s="76" t="str">
        <f t="shared" si="7"/>
        <v/>
      </c>
    </row>
    <row r="472" spans="3:3" x14ac:dyDescent="0.4">
      <c r="C472" s="76" t="str">
        <f t="shared" si="7"/>
        <v/>
      </c>
    </row>
    <row r="473" spans="3:3" x14ac:dyDescent="0.4">
      <c r="C473" s="76" t="str">
        <f t="shared" si="7"/>
        <v/>
      </c>
    </row>
    <row r="474" spans="3:3" x14ac:dyDescent="0.4">
      <c r="C474" s="76" t="str">
        <f t="shared" si="7"/>
        <v/>
      </c>
    </row>
    <row r="475" spans="3:3" x14ac:dyDescent="0.4">
      <c r="C475" s="76" t="str">
        <f t="shared" si="7"/>
        <v/>
      </c>
    </row>
    <row r="476" spans="3:3" x14ac:dyDescent="0.4">
      <c r="C476" s="76" t="str">
        <f t="shared" si="7"/>
        <v/>
      </c>
    </row>
    <row r="477" spans="3:3" x14ac:dyDescent="0.4">
      <c r="C477" s="76" t="str">
        <f t="shared" si="7"/>
        <v/>
      </c>
    </row>
    <row r="478" spans="3:3" x14ac:dyDescent="0.4">
      <c r="C478" s="76" t="str">
        <f t="shared" si="7"/>
        <v/>
      </c>
    </row>
    <row r="479" spans="3:3" x14ac:dyDescent="0.4">
      <c r="C479" s="76" t="str">
        <f t="shared" si="7"/>
        <v/>
      </c>
    </row>
    <row r="480" spans="3:3" x14ac:dyDescent="0.4">
      <c r="C480" s="76" t="str">
        <f t="shared" si="7"/>
        <v/>
      </c>
    </row>
    <row r="481" spans="3:3" x14ac:dyDescent="0.4">
      <c r="C481" s="76" t="str">
        <f t="shared" si="7"/>
        <v/>
      </c>
    </row>
    <row r="482" spans="3:3" x14ac:dyDescent="0.4">
      <c r="C482" s="76" t="str">
        <f t="shared" si="7"/>
        <v/>
      </c>
    </row>
    <row r="483" spans="3:3" x14ac:dyDescent="0.4">
      <c r="C483" s="76" t="str">
        <f t="shared" si="7"/>
        <v/>
      </c>
    </row>
    <row r="484" spans="3:3" x14ac:dyDescent="0.4">
      <c r="C484" s="76" t="str">
        <f t="shared" si="7"/>
        <v/>
      </c>
    </row>
    <row r="485" spans="3:3" x14ac:dyDescent="0.4">
      <c r="C485" s="76" t="str">
        <f t="shared" si="7"/>
        <v/>
      </c>
    </row>
    <row r="486" spans="3:3" x14ac:dyDescent="0.4">
      <c r="C486" s="76" t="str">
        <f t="shared" si="7"/>
        <v/>
      </c>
    </row>
    <row r="487" spans="3:3" x14ac:dyDescent="0.4">
      <c r="C487" s="76" t="str">
        <f t="shared" si="7"/>
        <v/>
      </c>
    </row>
    <row r="488" spans="3:3" x14ac:dyDescent="0.4">
      <c r="C488" s="76" t="str">
        <f t="shared" si="7"/>
        <v/>
      </c>
    </row>
    <row r="489" spans="3:3" x14ac:dyDescent="0.4">
      <c r="C489" s="76" t="str">
        <f t="shared" si="7"/>
        <v/>
      </c>
    </row>
    <row r="490" spans="3:3" x14ac:dyDescent="0.4">
      <c r="C490" s="76" t="str">
        <f t="shared" si="7"/>
        <v/>
      </c>
    </row>
    <row r="491" spans="3:3" x14ac:dyDescent="0.4">
      <c r="C491" s="76" t="str">
        <f t="shared" si="7"/>
        <v/>
      </c>
    </row>
    <row r="492" spans="3:3" x14ac:dyDescent="0.4">
      <c r="C492" s="76" t="str">
        <f t="shared" si="7"/>
        <v/>
      </c>
    </row>
    <row r="493" spans="3:3" x14ac:dyDescent="0.4">
      <c r="C493" s="76" t="str">
        <f t="shared" si="7"/>
        <v/>
      </c>
    </row>
    <row r="494" spans="3:3" x14ac:dyDescent="0.4">
      <c r="C494" s="76" t="str">
        <f t="shared" si="7"/>
        <v/>
      </c>
    </row>
    <row r="495" spans="3:3" x14ac:dyDescent="0.4">
      <c r="C495" s="76" t="str">
        <f t="shared" si="7"/>
        <v/>
      </c>
    </row>
    <row r="496" spans="3:3" x14ac:dyDescent="0.4">
      <c r="C496" s="76" t="str">
        <f t="shared" si="7"/>
        <v/>
      </c>
    </row>
    <row r="497" spans="3:3" x14ac:dyDescent="0.4">
      <c r="C497" s="76" t="str">
        <f t="shared" si="7"/>
        <v/>
      </c>
    </row>
    <row r="498" spans="3:3" x14ac:dyDescent="0.4">
      <c r="C498" s="76" t="str">
        <f t="shared" si="7"/>
        <v/>
      </c>
    </row>
    <row r="499" spans="3:3" x14ac:dyDescent="0.4">
      <c r="C499" s="76" t="str">
        <f t="shared" si="7"/>
        <v/>
      </c>
    </row>
    <row r="500" spans="3:3" x14ac:dyDescent="0.4">
      <c r="C500" s="76" t="str">
        <f t="shared" si="7"/>
        <v/>
      </c>
    </row>
    <row r="501" spans="3:3" x14ac:dyDescent="0.4">
      <c r="C501" s="76" t="str">
        <f t="shared" si="7"/>
        <v/>
      </c>
    </row>
    <row r="502" spans="3:3" x14ac:dyDescent="0.4">
      <c r="C502" s="76" t="str">
        <f t="shared" si="7"/>
        <v/>
      </c>
    </row>
    <row r="503" spans="3:3" x14ac:dyDescent="0.4">
      <c r="C503" s="76" t="str">
        <f t="shared" si="7"/>
        <v/>
      </c>
    </row>
    <row r="504" spans="3:3" x14ac:dyDescent="0.4">
      <c r="C504" s="76" t="str">
        <f t="shared" si="7"/>
        <v/>
      </c>
    </row>
    <row r="505" spans="3:3" x14ac:dyDescent="0.4">
      <c r="C505" s="76" t="str">
        <f t="shared" si="7"/>
        <v/>
      </c>
    </row>
    <row r="506" spans="3:3" x14ac:dyDescent="0.4">
      <c r="C506" s="76" t="str">
        <f t="shared" si="7"/>
        <v/>
      </c>
    </row>
    <row r="507" spans="3:3" x14ac:dyDescent="0.4">
      <c r="C507" s="76" t="str">
        <f t="shared" si="7"/>
        <v/>
      </c>
    </row>
    <row r="508" spans="3:3" x14ac:dyDescent="0.4">
      <c r="C508" s="76" t="str">
        <f t="shared" si="7"/>
        <v/>
      </c>
    </row>
    <row r="509" spans="3:3" x14ac:dyDescent="0.4">
      <c r="C509" s="76" t="str">
        <f t="shared" si="7"/>
        <v/>
      </c>
    </row>
    <row r="510" spans="3:3" x14ac:dyDescent="0.4">
      <c r="C510" s="76" t="str">
        <f t="shared" si="7"/>
        <v/>
      </c>
    </row>
    <row r="511" spans="3:3" x14ac:dyDescent="0.4">
      <c r="C511" s="76" t="str">
        <f t="shared" si="7"/>
        <v/>
      </c>
    </row>
    <row r="512" spans="3:3" x14ac:dyDescent="0.4">
      <c r="C512" s="76" t="str">
        <f t="shared" si="7"/>
        <v/>
      </c>
    </row>
    <row r="513" spans="3:3" x14ac:dyDescent="0.4">
      <c r="C513" s="76" t="str">
        <f t="shared" si="7"/>
        <v/>
      </c>
    </row>
    <row r="514" spans="3:3" x14ac:dyDescent="0.4">
      <c r="C514" s="76" t="str">
        <f t="shared" si="7"/>
        <v/>
      </c>
    </row>
    <row r="515" spans="3:3" x14ac:dyDescent="0.4">
      <c r="C515" s="76" t="str">
        <f t="shared" si="7"/>
        <v/>
      </c>
    </row>
    <row r="516" spans="3:3" x14ac:dyDescent="0.4">
      <c r="C516" s="76" t="str">
        <f t="shared" si="7"/>
        <v/>
      </c>
    </row>
    <row r="517" spans="3:3" x14ac:dyDescent="0.4">
      <c r="C517" s="76" t="str">
        <f t="shared" si="7"/>
        <v/>
      </c>
    </row>
    <row r="518" spans="3:3" x14ac:dyDescent="0.4">
      <c r="C518" s="76" t="str">
        <f t="shared" si="7"/>
        <v/>
      </c>
    </row>
    <row r="519" spans="3:3" x14ac:dyDescent="0.4">
      <c r="C519" s="76" t="str">
        <f t="shared" si="7"/>
        <v/>
      </c>
    </row>
    <row r="520" spans="3:3" x14ac:dyDescent="0.4">
      <c r="C520" s="76" t="str">
        <f t="shared" si="7"/>
        <v/>
      </c>
    </row>
    <row r="521" spans="3:3" x14ac:dyDescent="0.4">
      <c r="C521" s="76" t="str">
        <f t="shared" si="7"/>
        <v/>
      </c>
    </row>
    <row r="522" spans="3:3" x14ac:dyDescent="0.4">
      <c r="C522" s="76" t="str">
        <f t="shared" si="7"/>
        <v/>
      </c>
    </row>
    <row r="523" spans="3:3" x14ac:dyDescent="0.4">
      <c r="C523" s="76" t="str">
        <f t="shared" si="7"/>
        <v/>
      </c>
    </row>
    <row r="524" spans="3:3" x14ac:dyDescent="0.4">
      <c r="C524" s="76" t="str">
        <f t="shared" si="7"/>
        <v/>
      </c>
    </row>
    <row r="525" spans="3:3" x14ac:dyDescent="0.4">
      <c r="C525" s="76" t="str">
        <f t="shared" si="7"/>
        <v/>
      </c>
    </row>
    <row r="526" spans="3:3" x14ac:dyDescent="0.4">
      <c r="C526" s="76" t="str">
        <f t="shared" si="7"/>
        <v/>
      </c>
    </row>
    <row r="527" spans="3:3" x14ac:dyDescent="0.4">
      <c r="C527" s="76" t="str">
        <f t="shared" si="7"/>
        <v/>
      </c>
    </row>
    <row r="528" spans="3:3" x14ac:dyDescent="0.4">
      <c r="C528" s="76" t="str">
        <f t="shared" si="7"/>
        <v/>
      </c>
    </row>
    <row r="529" spans="3:3" x14ac:dyDescent="0.4">
      <c r="C529" s="76" t="str">
        <f t="shared" si="7"/>
        <v/>
      </c>
    </row>
    <row r="530" spans="3:3" x14ac:dyDescent="0.4">
      <c r="C530" s="76" t="str">
        <f t="shared" si="7"/>
        <v/>
      </c>
    </row>
    <row r="531" spans="3:3" x14ac:dyDescent="0.4">
      <c r="C531" s="76" t="str">
        <f t="shared" si="7"/>
        <v/>
      </c>
    </row>
    <row r="532" spans="3:3" x14ac:dyDescent="0.4">
      <c r="C532" s="76" t="str">
        <f t="shared" ref="C532:C595" si="8">IF(ISBLANK(B532),"",PROPER(TEXT(B532,"MMMM")))</f>
        <v/>
      </c>
    </row>
    <row r="533" spans="3:3" x14ac:dyDescent="0.4">
      <c r="C533" s="76" t="str">
        <f t="shared" si="8"/>
        <v/>
      </c>
    </row>
    <row r="534" spans="3:3" x14ac:dyDescent="0.4">
      <c r="C534" s="76" t="str">
        <f t="shared" si="8"/>
        <v/>
      </c>
    </row>
    <row r="535" spans="3:3" x14ac:dyDescent="0.4">
      <c r="C535" s="76" t="str">
        <f t="shared" si="8"/>
        <v/>
      </c>
    </row>
    <row r="536" spans="3:3" x14ac:dyDescent="0.4">
      <c r="C536" s="76" t="str">
        <f t="shared" si="8"/>
        <v/>
      </c>
    </row>
    <row r="537" spans="3:3" x14ac:dyDescent="0.4">
      <c r="C537" s="76" t="str">
        <f t="shared" si="8"/>
        <v/>
      </c>
    </row>
    <row r="538" spans="3:3" x14ac:dyDescent="0.4">
      <c r="C538" s="76" t="str">
        <f t="shared" si="8"/>
        <v/>
      </c>
    </row>
    <row r="539" spans="3:3" x14ac:dyDescent="0.4">
      <c r="C539" s="76" t="str">
        <f t="shared" si="8"/>
        <v/>
      </c>
    </row>
    <row r="540" spans="3:3" x14ac:dyDescent="0.4">
      <c r="C540" s="76" t="str">
        <f t="shared" si="8"/>
        <v/>
      </c>
    </row>
    <row r="541" spans="3:3" x14ac:dyDescent="0.4">
      <c r="C541" s="76" t="str">
        <f t="shared" si="8"/>
        <v/>
      </c>
    </row>
    <row r="542" spans="3:3" x14ac:dyDescent="0.4">
      <c r="C542" s="76" t="str">
        <f t="shared" si="8"/>
        <v/>
      </c>
    </row>
    <row r="543" spans="3:3" x14ac:dyDescent="0.4">
      <c r="C543" s="76" t="str">
        <f t="shared" si="8"/>
        <v/>
      </c>
    </row>
    <row r="544" spans="3:3" x14ac:dyDescent="0.4">
      <c r="C544" s="76" t="str">
        <f t="shared" si="8"/>
        <v/>
      </c>
    </row>
    <row r="545" spans="3:3" x14ac:dyDescent="0.4">
      <c r="C545" s="76" t="str">
        <f t="shared" si="8"/>
        <v/>
      </c>
    </row>
    <row r="546" spans="3:3" x14ac:dyDescent="0.4">
      <c r="C546" s="76" t="str">
        <f t="shared" si="8"/>
        <v/>
      </c>
    </row>
    <row r="547" spans="3:3" x14ac:dyDescent="0.4">
      <c r="C547" s="76" t="str">
        <f t="shared" si="8"/>
        <v/>
      </c>
    </row>
    <row r="548" spans="3:3" x14ac:dyDescent="0.4">
      <c r="C548" s="76" t="str">
        <f t="shared" si="8"/>
        <v/>
      </c>
    </row>
    <row r="549" spans="3:3" x14ac:dyDescent="0.4">
      <c r="C549" s="76" t="str">
        <f t="shared" si="8"/>
        <v/>
      </c>
    </row>
    <row r="550" spans="3:3" x14ac:dyDescent="0.4">
      <c r="C550" s="76" t="str">
        <f t="shared" si="8"/>
        <v/>
      </c>
    </row>
    <row r="551" spans="3:3" x14ac:dyDescent="0.4">
      <c r="C551" s="76" t="str">
        <f t="shared" si="8"/>
        <v/>
      </c>
    </row>
    <row r="552" spans="3:3" x14ac:dyDescent="0.4">
      <c r="C552" s="76" t="str">
        <f t="shared" si="8"/>
        <v/>
      </c>
    </row>
    <row r="553" spans="3:3" x14ac:dyDescent="0.4">
      <c r="C553" s="76" t="str">
        <f t="shared" si="8"/>
        <v/>
      </c>
    </row>
    <row r="554" spans="3:3" x14ac:dyDescent="0.4">
      <c r="C554" s="76" t="str">
        <f t="shared" si="8"/>
        <v/>
      </c>
    </row>
    <row r="555" spans="3:3" x14ac:dyDescent="0.4">
      <c r="C555" s="76" t="str">
        <f t="shared" si="8"/>
        <v/>
      </c>
    </row>
    <row r="556" spans="3:3" x14ac:dyDescent="0.4">
      <c r="C556" s="76" t="str">
        <f t="shared" si="8"/>
        <v/>
      </c>
    </row>
    <row r="557" spans="3:3" x14ac:dyDescent="0.4">
      <c r="C557" s="76" t="str">
        <f t="shared" si="8"/>
        <v/>
      </c>
    </row>
    <row r="558" spans="3:3" x14ac:dyDescent="0.4">
      <c r="C558" s="76" t="str">
        <f t="shared" si="8"/>
        <v/>
      </c>
    </row>
    <row r="559" spans="3:3" x14ac:dyDescent="0.4">
      <c r="C559" s="76" t="str">
        <f t="shared" si="8"/>
        <v/>
      </c>
    </row>
    <row r="560" spans="3:3" x14ac:dyDescent="0.4">
      <c r="C560" s="76" t="str">
        <f t="shared" si="8"/>
        <v/>
      </c>
    </row>
    <row r="561" spans="3:3" x14ac:dyDescent="0.4">
      <c r="C561" s="76" t="str">
        <f t="shared" si="8"/>
        <v/>
      </c>
    </row>
    <row r="562" spans="3:3" x14ac:dyDescent="0.4">
      <c r="C562" s="76" t="str">
        <f t="shared" si="8"/>
        <v/>
      </c>
    </row>
    <row r="563" spans="3:3" x14ac:dyDescent="0.4">
      <c r="C563" s="76" t="str">
        <f t="shared" si="8"/>
        <v/>
      </c>
    </row>
    <row r="564" spans="3:3" x14ac:dyDescent="0.4">
      <c r="C564" s="76" t="str">
        <f t="shared" si="8"/>
        <v/>
      </c>
    </row>
    <row r="565" spans="3:3" x14ac:dyDescent="0.4">
      <c r="C565" s="76" t="str">
        <f t="shared" si="8"/>
        <v/>
      </c>
    </row>
    <row r="566" spans="3:3" x14ac:dyDescent="0.4">
      <c r="C566" s="76" t="str">
        <f t="shared" si="8"/>
        <v/>
      </c>
    </row>
    <row r="567" spans="3:3" x14ac:dyDescent="0.4">
      <c r="C567" s="76" t="str">
        <f t="shared" si="8"/>
        <v/>
      </c>
    </row>
    <row r="568" spans="3:3" x14ac:dyDescent="0.4">
      <c r="C568" s="76" t="str">
        <f t="shared" si="8"/>
        <v/>
      </c>
    </row>
    <row r="569" spans="3:3" x14ac:dyDescent="0.4">
      <c r="C569" s="76" t="str">
        <f t="shared" si="8"/>
        <v/>
      </c>
    </row>
    <row r="570" spans="3:3" x14ac:dyDescent="0.4">
      <c r="C570" s="76" t="str">
        <f t="shared" si="8"/>
        <v/>
      </c>
    </row>
    <row r="571" spans="3:3" x14ac:dyDescent="0.4">
      <c r="C571" s="76" t="str">
        <f t="shared" si="8"/>
        <v/>
      </c>
    </row>
    <row r="572" spans="3:3" x14ac:dyDescent="0.4">
      <c r="C572" s="76" t="str">
        <f t="shared" si="8"/>
        <v/>
      </c>
    </row>
    <row r="573" spans="3:3" x14ac:dyDescent="0.4">
      <c r="C573" s="76" t="str">
        <f t="shared" si="8"/>
        <v/>
      </c>
    </row>
    <row r="574" spans="3:3" x14ac:dyDescent="0.4">
      <c r="C574" s="76" t="str">
        <f t="shared" si="8"/>
        <v/>
      </c>
    </row>
    <row r="575" spans="3:3" x14ac:dyDescent="0.4">
      <c r="C575" s="76" t="str">
        <f t="shared" si="8"/>
        <v/>
      </c>
    </row>
    <row r="576" spans="3:3" x14ac:dyDescent="0.4">
      <c r="C576" s="76" t="str">
        <f t="shared" si="8"/>
        <v/>
      </c>
    </row>
    <row r="577" spans="3:3" x14ac:dyDescent="0.4">
      <c r="C577" s="76" t="str">
        <f t="shared" si="8"/>
        <v/>
      </c>
    </row>
    <row r="578" spans="3:3" x14ac:dyDescent="0.4">
      <c r="C578" s="76" t="str">
        <f t="shared" si="8"/>
        <v/>
      </c>
    </row>
    <row r="579" spans="3:3" x14ac:dyDescent="0.4">
      <c r="C579" s="76" t="str">
        <f t="shared" si="8"/>
        <v/>
      </c>
    </row>
    <row r="580" spans="3:3" x14ac:dyDescent="0.4">
      <c r="C580" s="76" t="str">
        <f t="shared" si="8"/>
        <v/>
      </c>
    </row>
    <row r="581" spans="3:3" x14ac:dyDescent="0.4">
      <c r="C581" s="76" t="str">
        <f t="shared" si="8"/>
        <v/>
      </c>
    </row>
    <row r="582" spans="3:3" x14ac:dyDescent="0.4">
      <c r="C582" s="76" t="str">
        <f t="shared" si="8"/>
        <v/>
      </c>
    </row>
    <row r="583" spans="3:3" x14ac:dyDescent="0.4">
      <c r="C583" s="76" t="str">
        <f t="shared" si="8"/>
        <v/>
      </c>
    </row>
    <row r="584" spans="3:3" x14ac:dyDescent="0.4">
      <c r="C584" s="76" t="str">
        <f t="shared" si="8"/>
        <v/>
      </c>
    </row>
    <row r="585" spans="3:3" x14ac:dyDescent="0.4">
      <c r="C585" s="76" t="str">
        <f t="shared" si="8"/>
        <v/>
      </c>
    </row>
    <row r="586" spans="3:3" x14ac:dyDescent="0.4">
      <c r="C586" s="76" t="str">
        <f t="shared" si="8"/>
        <v/>
      </c>
    </row>
    <row r="587" spans="3:3" x14ac:dyDescent="0.4">
      <c r="C587" s="76" t="str">
        <f t="shared" si="8"/>
        <v/>
      </c>
    </row>
    <row r="588" spans="3:3" x14ac:dyDescent="0.4">
      <c r="C588" s="76" t="str">
        <f t="shared" si="8"/>
        <v/>
      </c>
    </row>
    <row r="589" spans="3:3" x14ac:dyDescent="0.4">
      <c r="C589" s="76" t="str">
        <f t="shared" si="8"/>
        <v/>
      </c>
    </row>
    <row r="590" spans="3:3" x14ac:dyDescent="0.4">
      <c r="C590" s="76" t="str">
        <f t="shared" si="8"/>
        <v/>
      </c>
    </row>
    <row r="591" spans="3:3" x14ac:dyDescent="0.4">
      <c r="C591" s="76" t="str">
        <f t="shared" si="8"/>
        <v/>
      </c>
    </row>
    <row r="592" spans="3:3" x14ac:dyDescent="0.4">
      <c r="C592" s="76" t="str">
        <f t="shared" si="8"/>
        <v/>
      </c>
    </row>
    <row r="593" spans="3:3" x14ac:dyDescent="0.4">
      <c r="C593" s="76" t="str">
        <f t="shared" si="8"/>
        <v/>
      </c>
    </row>
    <row r="594" spans="3:3" x14ac:dyDescent="0.4">
      <c r="C594" s="76" t="str">
        <f t="shared" si="8"/>
        <v/>
      </c>
    </row>
    <row r="595" spans="3:3" x14ac:dyDescent="0.4">
      <c r="C595" s="76" t="str">
        <f t="shared" si="8"/>
        <v/>
      </c>
    </row>
    <row r="596" spans="3:3" x14ac:dyDescent="0.4">
      <c r="C596" s="76" t="str">
        <f t="shared" ref="C596:C659" si="9">IF(ISBLANK(B596),"",PROPER(TEXT(B596,"MMMM")))</f>
        <v/>
      </c>
    </row>
    <row r="597" spans="3:3" x14ac:dyDescent="0.4">
      <c r="C597" s="76" t="str">
        <f t="shared" si="9"/>
        <v/>
      </c>
    </row>
    <row r="598" spans="3:3" x14ac:dyDescent="0.4">
      <c r="C598" s="76" t="str">
        <f t="shared" si="9"/>
        <v/>
      </c>
    </row>
    <row r="599" spans="3:3" x14ac:dyDescent="0.4">
      <c r="C599" s="76" t="str">
        <f t="shared" si="9"/>
        <v/>
      </c>
    </row>
    <row r="600" spans="3:3" x14ac:dyDescent="0.4">
      <c r="C600" s="76" t="str">
        <f t="shared" si="9"/>
        <v/>
      </c>
    </row>
    <row r="601" spans="3:3" x14ac:dyDescent="0.4">
      <c r="C601" s="76" t="str">
        <f t="shared" si="9"/>
        <v/>
      </c>
    </row>
    <row r="602" spans="3:3" x14ac:dyDescent="0.4">
      <c r="C602" s="76" t="str">
        <f t="shared" si="9"/>
        <v/>
      </c>
    </row>
    <row r="603" spans="3:3" x14ac:dyDescent="0.4">
      <c r="C603" s="76" t="str">
        <f t="shared" si="9"/>
        <v/>
      </c>
    </row>
    <row r="604" spans="3:3" x14ac:dyDescent="0.4">
      <c r="C604" s="76" t="str">
        <f t="shared" si="9"/>
        <v/>
      </c>
    </row>
    <row r="605" spans="3:3" x14ac:dyDescent="0.4">
      <c r="C605" s="76" t="str">
        <f t="shared" si="9"/>
        <v/>
      </c>
    </row>
    <row r="606" spans="3:3" x14ac:dyDescent="0.4">
      <c r="C606" s="76" t="str">
        <f t="shared" si="9"/>
        <v/>
      </c>
    </row>
    <row r="607" spans="3:3" x14ac:dyDescent="0.4">
      <c r="C607" s="76" t="str">
        <f t="shared" si="9"/>
        <v/>
      </c>
    </row>
    <row r="608" spans="3:3" x14ac:dyDescent="0.4">
      <c r="C608" s="76" t="str">
        <f t="shared" si="9"/>
        <v/>
      </c>
    </row>
    <row r="609" spans="3:3" x14ac:dyDescent="0.4">
      <c r="C609" s="76" t="str">
        <f t="shared" si="9"/>
        <v/>
      </c>
    </row>
    <row r="610" spans="3:3" x14ac:dyDescent="0.4">
      <c r="C610" s="76" t="str">
        <f t="shared" si="9"/>
        <v/>
      </c>
    </row>
    <row r="611" spans="3:3" x14ac:dyDescent="0.4">
      <c r="C611" s="76" t="str">
        <f t="shared" si="9"/>
        <v/>
      </c>
    </row>
    <row r="612" spans="3:3" x14ac:dyDescent="0.4">
      <c r="C612" s="76" t="str">
        <f t="shared" si="9"/>
        <v/>
      </c>
    </row>
    <row r="613" spans="3:3" x14ac:dyDescent="0.4">
      <c r="C613" s="76" t="str">
        <f t="shared" si="9"/>
        <v/>
      </c>
    </row>
    <row r="614" spans="3:3" x14ac:dyDescent="0.4">
      <c r="C614" s="76" t="str">
        <f t="shared" si="9"/>
        <v/>
      </c>
    </row>
    <row r="615" spans="3:3" x14ac:dyDescent="0.4">
      <c r="C615" s="76" t="str">
        <f t="shared" si="9"/>
        <v/>
      </c>
    </row>
    <row r="616" spans="3:3" x14ac:dyDescent="0.4">
      <c r="C616" s="76" t="str">
        <f t="shared" si="9"/>
        <v/>
      </c>
    </row>
    <row r="617" spans="3:3" x14ac:dyDescent="0.4">
      <c r="C617" s="76" t="str">
        <f t="shared" si="9"/>
        <v/>
      </c>
    </row>
    <row r="618" spans="3:3" x14ac:dyDescent="0.4">
      <c r="C618" s="76" t="str">
        <f t="shared" si="9"/>
        <v/>
      </c>
    </row>
    <row r="619" spans="3:3" x14ac:dyDescent="0.4">
      <c r="C619" s="76" t="str">
        <f t="shared" si="9"/>
        <v/>
      </c>
    </row>
    <row r="620" spans="3:3" x14ac:dyDescent="0.4">
      <c r="C620" s="76" t="str">
        <f t="shared" si="9"/>
        <v/>
      </c>
    </row>
    <row r="621" spans="3:3" x14ac:dyDescent="0.4">
      <c r="C621" s="76" t="str">
        <f t="shared" si="9"/>
        <v/>
      </c>
    </row>
    <row r="622" spans="3:3" x14ac:dyDescent="0.4">
      <c r="C622" s="76" t="str">
        <f t="shared" si="9"/>
        <v/>
      </c>
    </row>
    <row r="623" spans="3:3" x14ac:dyDescent="0.4">
      <c r="C623" s="76" t="str">
        <f t="shared" si="9"/>
        <v/>
      </c>
    </row>
    <row r="624" spans="3:3" x14ac:dyDescent="0.4">
      <c r="C624" s="76" t="str">
        <f t="shared" si="9"/>
        <v/>
      </c>
    </row>
    <row r="625" spans="3:3" x14ac:dyDescent="0.4">
      <c r="C625" s="76" t="str">
        <f t="shared" si="9"/>
        <v/>
      </c>
    </row>
    <row r="626" spans="3:3" x14ac:dyDescent="0.4">
      <c r="C626" s="76" t="str">
        <f t="shared" si="9"/>
        <v/>
      </c>
    </row>
    <row r="627" spans="3:3" x14ac:dyDescent="0.4">
      <c r="C627" s="76" t="str">
        <f t="shared" si="9"/>
        <v/>
      </c>
    </row>
    <row r="628" spans="3:3" x14ac:dyDescent="0.4">
      <c r="C628" s="76" t="str">
        <f t="shared" si="9"/>
        <v/>
      </c>
    </row>
    <row r="629" spans="3:3" x14ac:dyDescent="0.4">
      <c r="C629" s="76" t="str">
        <f t="shared" si="9"/>
        <v/>
      </c>
    </row>
    <row r="630" spans="3:3" x14ac:dyDescent="0.4">
      <c r="C630" s="76" t="str">
        <f t="shared" si="9"/>
        <v/>
      </c>
    </row>
    <row r="631" spans="3:3" x14ac:dyDescent="0.4">
      <c r="C631" s="76" t="str">
        <f t="shared" si="9"/>
        <v/>
      </c>
    </row>
    <row r="632" spans="3:3" x14ac:dyDescent="0.4">
      <c r="C632" s="76" t="str">
        <f t="shared" si="9"/>
        <v/>
      </c>
    </row>
    <row r="633" spans="3:3" x14ac:dyDescent="0.4">
      <c r="C633" s="76" t="str">
        <f t="shared" si="9"/>
        <v/>
      </c>
    </row>
    <row r="634" spans="3:3" x14ac:dyDescent="0.4">
      <c r="C634" s="76" t="str">
        <f t="shared" si="9"/>
        <v/>
      </c>
    </row>
    <row r="635" spans="3:3" x14ac:dyDescent="0.4">
      <c r="C635" s="76" t="str">
        <f t="shared" si="9"/>
        <v/>
      </c>
    </row>
    <row r="636" spans="3:3" x14ac:dyDescent="0.4">
      <c r="C636" s="76" t="str">
        <f t="shared" si="9"/>
        <v/>
      </c>
    </row>
    <row r="637" spans="3:3" x14ac:dyDescent="0.4">
      <c r="C637" s="76" t="str">
        <f t="shared" si="9"/>
        <v/>
      </c>
    </row>
    <row r="638" spans="3:3" x14ac:dyDescent="0.4">
      <c r="C638" s="76" t="str">
        <f t="shared" si="9"/>
        <v/>
      </c>
    </row>
    <row r="639" spans="3:3" x14ac:dyDescent="0.4">
      <c r="C639" s="76" t="str">
        <f t="shared" si="9"/>
        <v/>
      </c>
    </row>
    <row r="640" spans="3:3" x14ac:dyDescent="0.4">
      <c r="C640" s="76" t="str">
        <f t="shared" si="9"/>
        <v/>
      </c>
    </row>
    <row r="641" spans="3:3" x14ac:dyDescent="0.4">
      <c r="C641" s="76" t="str">
        <f t="shared" si="9"/>
        <v/>
      </c>
    </row>
    <row r="642" spans="3:3" x14ac:dyDescent="0.4">
      <c r="C642" s="76" t="str">
        <f t="shared" si="9"/>
        <v/>
      </c>
    </row>
    <row r="643" spans="3:3" x14ac:dyDescent="0.4">
      <c r="C643" s="76" t="str">
        <f t="shared" si="9"/>
        <v/>
      </c>
    </row>
    <row r="644" spans="3:3" x14ac:dyDescent="0.4">
      <c r="C644" s="76" t="str">
        <f t="shared" si="9"/>
        <v/>
      </c>
    </row>
    <row r="645" spans="3:3" x14ac:dyDescent="0.4">
      <c r="C645" s="76" t="str">
        <f t="shared" si="9"/>
        <v/>
      </c>
    </row>
    <row r="646" spans="3:3" x14ac:dyDescent="0.4">
      <c r="C646" s="76" t="str">
        <f t="shared" si="9"/>
        <v/>
      </c>
    </row>
    <row r="647" spans="3:3" x14ac:dyDescent="0.4">
      <c r="C647" s="76" t="str">
        <f t="shared" si="9"/>
        <v/>
      </c>
    </row>
    <row r="648" spans="3:3" x14ac:dyDescent="0.4">
      <c r="C648" s="76" t="str">
        <f t="shared" si="9"/>
        <v/>
      </c>
    </row>
    <row r="649" spans="3:3" x14ac:dyDescent="0.4">
      <c r="C649" s="76" t="str">
        <f t="shared" si="9"/>
        <v/>
      </c>
    </row>
    <row r="650" spans="3:3" x14ac:dyDescent="0.4">
      <c r="C650" s="76" t="str">
        <f t="shared" si="9"/>
        <v/>
      </c>
    </row>
    <row r="651" spans="3:3" x14ac:dyDescent="0.4">
      <c r="C651" s="76" t="str">
        <f t="shared" si="9"/>
        <v/>
      </c>
    </row>
    <row r="652" spans="3:3" x14ac:dyDescent="0.4">
      <c r="C652" s="76" t="str">
        <f t="shared" si="9"/>
        <v/>
      </c>
    </row>
    <row r="653" spans="3:3" x14ac:dyDescent="0.4">
      <c r="C653" s="76" t="str">
        <f t="shared" si="9"/>
        <v/>
      </c>
    </row>
    <row r="654" spans="3:3" x14ac:dyDescent="0.4">
      <c r="C654" s="76" t="str">
        <f t="shared" si="9"/>
        <v/>
      </c>
    </row>
    <row r="655" spans="3:3" x14ac:dyDescent="0.4">
      <c r="C655" s="76" t="str">
        <f t="shared" si="9"/>
        <v/>
      </c>
    </row>
    <row r="656" spans="3:3" x14ac:dyDescent="0.4">
      <c r="C656" s="76" t="str">
        <f t="shared" si="9"/>
        <v/>
      </c>
    </row>
    <row r="657" spans="3:3" x14ac:dyDescent="0.4">
      <c r="C657" s="76" t="str">
        <f t="shared" si="9"/>
        <v/>
      </c>
    </row>
    <row r="658" spans="3:3" x14ac:dyDescent="0.4">
      <c r="C658" s="76" t="str">
        <f t="shared" si="9"/>
        <v/>
      </c>
    </row>
    <row r="659" spans="3:3" x14ac:dyDescent="0.4">
      <c r="C659" s="76" t="str">
        <f t="shared" si="9"/>
        <v/>
      </c>
    </row>
    <row r="660" spans="3:3" x14ac:dyDescent="0.4">
      <c r="C660" s="76" t="str">
        <f t="shared" ref="C660:C723" si="10">IF(ISBLANK(B660),"",PROPER(TEXT(B660,"MMMM")))</f>
        <v/>
      </c>
    </row>
    <row r="661" spans="3:3" x14ac:dyDescent="0.4">
      <c r="C661" s="76" t="str">
        <f t="shared" si="10"/>
        <v/>
      </c>
    </row>
    <row r="662" spans="3:3" x14ac:dyDescent="0.4">
      <c r="C662" s="76" t="str">
        <f t="shared" si="10"/>
        <v/>
      </c>
    </row>
    <row r="663" spans="3:3" x14ac:dyDescent="0.4">
      <c r="C663" s="76" t="str">
        <f t="shared" si="10"/>
        <v/>
      </c>
    </row>
    <row r="664" spans="3:3" x14ac:dyDescent="0.4">
      <c r="C664" s="76" t="str">
        <f t="shared" si="10"/>
        <v/>
      </c>
    </row>
    <row r="665" spans="3:3" x14ac:dyDescent="0.4">
      <c r="C665" s="76" t="str">
        <f t="shared" si="10"/>
        <v/>
      </c>
    </row>
    <row r="666" spans="3:3" x14ac:dyDescent="0.4">
      <c r="C666" s="76" t="str">
        <f t="shared" si="10"/>
        <v/>
      </c>
    </row>
    <row r="667" spans="3:3" x14ac:dyDescent="0.4">
      <c r="C667" s="76" t="str">
        <f t="shared" si="10"/>
        <v/>
      </c>
    </row>
    <row r="668" spans="3:3" x14ac:dyDescent="0.4">
      <c r="C668" s="76" t="str">
        <f t="shared" si="10"/>
        <v/>
      </c>
    </row>
    <row r="669" spans="3:3" x14ac:dyDescent="0.4">
      <c r="C669" s="76" t="str">
        <f t="shared" si="10"/>
        <v/>
      </c>
    </row>
    <row r="670" spans="3:3" x14ac:dyDescent="0.4">
      <c r="C670" s="76" t="str">
        <f t="shared" si="10"/>
        <v/>
      </c>
    </row>
    <row r="671" spans="3:3" x14ac:dyDescent="0.4">
      <c r="C671" s="76" t="str">
        <f t="shared" si="10"/>
        <v/>
      </c>
    </row>
    <row r="672" spans="3:3" x14ac:dyDescent="0.4">
      <c r="C672" s="76" t="str">
        <f t="shared" si="10"/>
        <v/>
      </c>
    </row>
    <row r="673" spans="3:3" x14ac:dyDescent="0.4">
      <c r="C673" s="76" t="str">
        <f t="shared" si="10"/>
        <v/>
      </c>
    </row>
    <row r="674" spans="3:3" x14ac:dyDescent="0.4">
      <c r="C674" s="76" t="str">
        <f t="shared" si="10"/>
        <v/>
      </c>
    </row>
    <row r="675" spans="3:3" x14ac:dyDescent="0.4">
      <c r="C675" s="76" t="str">
        <f t="shared" si="10"/>
        <v/>
      </c>
    </row>
    <row r="676" spans="3:3" x14ac:dyDescent="0.4">
      <c r="C676" s="76" t="str">
        <f t="shared" si="10"/>
        <v/>
      </c>
    </row>
    <row r="677" spans="3:3" x14ac:dyDescent="0.4">
      <c r="C677" s="76" t="str">
        <f t="shared" si="10"/>
        <v/>
      </c>
    </row>
    <row r="678" spans="3:3" x14ac:dyDescent="0.4">
      <c r="C678" s="76" t="str">
        <f t="shared" si="10"/>
        <v/>
      </c>
    </row>
    <row r="679" spans="3:3" x14ac:dyDescent="0.4">
      <c r="C679" s="76" t="str">
        <f t="shared" si="10"/>
        <v/>
      </c>
    </row>
    <row r="680" spans="3:3" x14ac:dyDescent="0.4">
      <c r="C680" s="76" t="str">
        <f t="shared" si="10"/>
        <v/>
      </c>
    </row>
    <row r="681" spans="3:3" x14ac:dyDescent="0.4">
      <c r="C681" s="76" t="str">
        <f t="shared" si="10"/>
        <v/>
      </c>
    </row>
    <row r="682" spans="3:3" x14ac:dyDescent="0.4">
      <c r="C682" s="76" t="str">
        <f t="shared" si="10"/>
        <v/>
      </c>
    </row>
    <row r="683" spans="3:3" x14ac:dyDescent="0.4">
      <c r="C683" s="76" t="str">
        <f t="shared" si="10"/>
        <v/>
      </c>
    </row>
    <row r="684" spans="3:3" x14ac:dyDescent="0.4">
      <c r="C684" s="76" t="str">
        <f t="shared" si="10"/>
        <v/>
      </c>
    </row>
    <row r="685" spans="3:3" x14ac:dyDescent="0.4">
      <c r="C685" s="76" t="str">
        <f t="shared" si="10"/>
        <v/>
      </c>
    </row>
    <row r="686" spans="3:3" x14ac:dyDescent="0.4">
      <c r="C686" s="76" t="str">
        <f t="shared" si="10"/>
        <v/>
      </c>
    </row>
    <row r="687" spans="3:3" x14ac:dyDescent="0.4">
      <c r="C687" s="76" t="str">
        <f t="shared" si="10"/>
        <v/>
      </c>
    </row>
    <row r="688" spans="3:3" x14ac:dyDescent="0.4">
      <c r="C688" s="76" t="str">
        <f t="shared" si="10"/>
        <v/>
      </c>
    </row>
    <row r="689" spans="3:3" x14ac:dyDescent="0.4">
      <c r="C689" s="76" t="str">
        <f t="shared" si="10"/>
        <v/>
      </c>
    </row>
    <row r="690" spans="3:3" x14ac:dyDescent="0.4">
      <c r="C690" s="76" t="str">
        <f t="shared" si="10"/>
        <v/>
      </c>
    </row>
    <row r="691" spans="3:3" x14ac:dyDescent="0.4">
      <c r="C691" s="76" t="str">
        <f t="shared" si="10"/>
        <v/>
      </c>
    </row>
    <row r="692" spans="3:3" x14ac:dyDescent="0.4">
      <c r="C692" s="76" t="str">
        <f t="shared" si="10"/>
        <v/>
      </c>
    </row>
    <row r="693" spans="3:3" x14ac:dyDescent="0.4">
      <c r="C693" s="76" t="str">
        <f t="shared" si="10"/>
        <v/>
      </c>
    </row>
    <row r="694" spans="3:3" x14ac:dyDescent="0.4">
      <c r="C694" s="76" t="str">
        <f t="shared" si="10"/>
        <v/>
      </c>
    </row>
    <row r="695" spans="3:3" x14ac:dyDescent="0.4">
      <c r="C695" s="76" t="str">
        <f t="shared" si="10"/>
        <v/>
      </c>
    </row>
    <row r="696" spans="3:3" x14ac:dyDescent="0.4">
      <c r="C696" s="76" t="str">
        <f t="shared" si="10"/>
        <v/>
      </c>
    </row>
    <row r="697" spans="3:3" x14ac:dyDescent="0.4">
      <c r="C697" s="76" t="str">
        <f t="shared" si="10"/>
        <v/>
      </c>
    </row>
    <row r="698" spans="3:3" x14ac:dyDescent="0.4">
      <c r="C698" s="76" t="str">
        <f t="shared" si="10"/>
        <v/>
      </c>
    </row>
    <row r="699" spans="3:3" x14ac:dyDescent="0.4">
      <c r="C699" s="76" t="str">
        <f t="shared" si="10"/>
        <v/>
      </c>
    </row>
    <row r="700" spans="3:3" x14ac:dyDescent="0.4">
      <c r="C700" s="76" t="str">
        <f t="shared" si="10"/>
        <v/>
      </c>
    </row>
    <row r="701" spans="3:3" x14ac:dyDescent="0.4">
      <c r="C701" s="76" t="str">
        <f t="shared" si="10"/>
        <v/>
      </c>
    </row>
    <row r="702" spans="3:3" x14ac:dyDescent="0.4">
      <c r="C702" s="76" t="str">
        <f t="shared" si="10"/>
        <v/>
      </c>
    </row>
    <row r="703" spans="3:3" x14ac:dyDescent="0.4">
      <c r="C703" s="76" t="str">
        <f t="shared" si="10"/>
        <v/>
      </c>
    </row>
    <row r="704" spans="3:3" x14ac:dyDescent="0.4">
      <c r="C704" s="76" t="str">
        <f t="shared" si="10"/>
        <v/>
      </c>
    </row>
    <row r="705" spans="3:3" x14ac:dyDescent="0.4">
      <c r="C705" s="76" t="str">
        <f t="shared" si="10"/>
        <v/>
      </c>
    </row>
    <row r="706" spans="3:3" x14ac:dyDescent="0.4">
      <c r="C706" s="76" t="str">
        <f t="shared" si="10"/>
        <v/>
      </c>
    </row>
    <row r="707" spans="3:3" x14ac:dyDescent="0.4">
      <c r="C707" s="76" t="str">
        <f t="shared" si="10"/>
        <v/>
      </c>
    </row>
    <row r="708" spans="3:3" x14ac:dyDescent="0.4">
      <c r="C708" s="76" t="str">
        <f t="shared" si="10"/>
        <v/>
      </c>
    </row>
    <row r="709" spans="3:3" x14ac:dyDescent="0.4">
      <c r="C709" s="76" t="str">
        <f t="shared" si="10"/>
        <v/>
      </c>
    </row>
    <row r="710" spans="3:3" x14ac:dyDescent="0.4">
      <c r="C710" s="76" t="str">
        <f t="shared" si="10"/>
        <v/>
      </c>
    </row>
    <row r="711" spans="3:3" x14ac:dyDescent="0.4">
      <c r="C711" s="76" t="str">
        <f t="shared" si="10"/>
        <v/>
      </c>
    </row>
    <row r="712" spans="3:3" x14ac:dyDescent="0.4">
      <c r="C712" s="76" t="str">
        <f t="shared" si="10"/>
        <v/>
      </c>
    </row>
    <row r="713" spans="3:3" x14ac:dyDescent="0.4">
      <c r="C713" s="76" t="str">
        <f t="shared" si="10"/>
        <v/>
      </c>
    </row>
    <row r="714" spans="3:3" x14ac:dyDescent="0.4">
      <c r="C714" s="76" t="str">
        <f t="shared" si="10"/>
        <v/>
      </c>
    </row>
    <row r="715" spans="3:3" x14ac:dyDescent="0.4">
      <c r="C715" s="76" t="str">
        <f t="shared" si="10"/>
        <v/>
      </c>
    </row>
    <row r="716" spans="3:3" x14ac:dyDescent="0.4">
      <c r="C716" s="76" t="str">
        <f t="shared" si="10"/>
        <v/>
      </c>
    </row>
    <row r="717" spans="3:3" x14ac:dyDescent="0.4">
      <c r="C717" s="76" t="str">
        <f t="shared" si="10"/>
        <v/>
      </c>
    </row>
    <row r="718" spans="3:3" x14ac:dyDescent="0.4">
      <c r="C718" s="76" t="str">
        <f t="shared" si="10"/>
        <v/>
      </c>
    </row>
    <row r="719" spans="3:3" x14ac:dyDescent="0.4">
      <c r="C719" s="76" t="str">
        <f t="shared" si="10"/>
        <v/>
      </c>
    </row>
    <row r="720" spans="3:3" x14ac:dyDescent="0.4">
      <c r="C720" s="76" t="str">
        <f t="shared" si="10"/>
        <v/>
      </c>
    </row>
    <row r="721" spans="3:3" x14ac:dyDescent="0.4">
      <c r="C721" s="76" t="str">
        <f t="shared" si="10"/>
        <v/>
      </c>
    </row>
    <row r="722" spans="3:3" x14ac:dyDescent="0.4">
      <c r="C722" s="76" t="str">
        <f t="shared" si="10"/>
        <v/>
      </c>
    </row>
    <row r="723" spans="3:3" x14ac:dyDescent="0.4">
      <c r="C723" s="76" t="str">
        <f t="shared" si="10"/>
        <v/>
      </c>
    </row>
    <row r="724" spans="3:3" x14ac:dyDescent="0.4">
      <c r="C724" s="76" t="str">
        <f t="shared" ref="C724:C772" si="11">IF(ISBLANK(B724),"",PROPER(TEXT(B724,"MMMM")))</f>
        <v/>
      </c>
    </row>
    <row r="725" spans="3:3" x14ac:dyDescent="0.4">
      <c r="C725" s="76" t="str">
        <f t="shared" si="11"/>
        <v/>
      </c>
    </row>
    <row r="726" spans="3:3" x14ac:dyDescent="0.4">
      <c r="C726" s="76" t="str">
        <f t="shared" si="11"/>
        <v/>
      </c>
    </row>
    <row r="727" spans="3:3" x14ac:dyDescent="0.4">
      <c r="C727" s="76" t="str">
        <f t="shared" si="11"/>
        <v/>
      </c>
    </row>
    <row r="728" spans="3:3" x14ac:dyDescent="0.4">
      <c r="C728" s="76" t="str">
        <f t="shared" si="11"/>
        <v/>
      </c>
    </row>
    <row r="729" spans="3:3" x14ac:dyDescent="0.4">
      <c r="C729" s="76" t="str">
        <f t="shared" si="11"/>
        <v/>
      </c>
    </row>
    <row r="730" spans="3:3" x14ac:dyDescent="0.4">
      <c r="C730" s="76" t="str">
        <f t="shared" si="11"/>
        <v/>
      </c>
    </row>
    <row r="731" spans="3:3" x14ac:dyDescent="0.4">
      <c r="C731" s="76" t="str">
        <f t="shared" si="11"/>
        <v/>
      </c>
    </row>
    <row r="732" spans="3:3" x14ac:dyDescent="0.4">
      <c r="C732" s="76" t="str">
        <f t="shared" si="11"/>
        <v/>
      </c>
    </row>
    <row r="733" spans="3:3" x14ac:dyDescent="0.4">
      <c r="C733" s="76" t="str">
        <f t="shared" si="11"/>
        <v/>
      </c>
    </row>
    <row r="734" spans="3:3" x14ac:dyDescent="0.4">
      <c r="C734" s="76" t="str">
        <f t="shared" si="11"/>
        <v/>
      </c>
    </row>
    <row r="735" spans="3:3" x14ac:dyDescent="0.4">
      <c r="C735" s="76" t="str">
        <f t="shared" si="11"/>
        <v/>
      </c>
    </row>
    <row r="736" spans="3:3" x14ac:dyDescent="0.4">
      <c r="C736" s="76" t="str">
        <f t="shared" si="11"/>
        <v/>
      </c>
    </row>
    <row r="737" spans="3:3" x14ac:dyDescent="0.4">
      <c r="C737" s="76" t="str">
        <f t="shared" si="11"/>
        <v/>
      </c>
    </row>
    <row r="738" spans="3:3" x14ac:dyDescent="0.4">
      <c r="C738" s="76" t="str">
        <f t="shared" si="11"/>
        <v/>
      </c>
    </row>
    <row r="739" spans="3:3" x14ac:dyDescent="0.4">
      <c r="C739" s="76" t="str">
        <f t="shared" si="11"/>
        <v/>
      </c>
    </row>
    <row r="740" spans="3:3" x14ac:dyDescent="0.4">
      <c r="C740" s="76" t="str">
        <f t="shared" si="11"/>
        <v/>
      </c>
    </row>
    <row r="741" spans="3:3" x14ac:dyDescent="0.4">
      <c r="C741" s="76" t="str">
        <f t="shared" si="11"/>
        <v/>
      </c>
    </row>
    <row r="742" spans="3:3" x14ac:dyDescent="0.4">
      <c r="C742" s="76" t="str">
        <f t="shared" si="11"/>
        <v/>
      </c>
    </row>
    <row r="743" spans="3:3" x14ac:dyDescent="0.4">
      <c r="C743" s="76" t="str">
        <f t="shared" si="11"/>
        <v/>
      </c>
    </row>
    <row r="744" spans="3:3" x14ac:dyDescent="0.4">
      <c r="C744" s="76" t="str">
        <f t="shared" si="11"/>
        <v/>
      </c>
    </row>
    <row r="745" spans="3:3" x14ac:dyDescent="0.4">
      <c r="C745" s="76" t="str">
        <f t="shared" si="11"/>
        <v/>
      </c>
    </row>
    <row r="746" spans="3:3" x14ac:dyDescent="0.4">
      <c r="C746" s="76" t="str">
        <f t="shared" si="11"/>
        <v/>
      </c>
    </row>
    <row r="747" spans="3:3" x14ac:dyDescent="0.4">
      <c r="C747" s="76" t="str">
        <f t="shared" si="11"/>
        <v/>
      </c>
    </row>
    <row r="748" spans="3:3" x14ac:dyDescent="0.4">
      <c r="C748" s="76" t="str">
        <f t="shared" si="11"/>
        <v/>
      </c>
    </row>
    <row r="749" spans="3:3" x14ac:dyDescent="0.4">
      <c r="C749" s="76" t="str">
        <f t="shared" si="11"/>
        <v/>
      </c>
    </row>
    <row r="750" spans="3:3" x14ac:dyDescent="0.4">
      <c r="C750" s="76" t="str">
        <f t="shared" si="11"/>
        <v/>
      </c>
    </row>
    <row r="751" spans="3:3" x14ac:dyDescent="0.4">
      <c r="C751" s="76" t="str">
        <f t="shared" si="11"/>
        <v/>
      </c>
    </row>
    <row r="752" spans="3:3" x14ac:dyDescent="0.4">
      <c r="C752" s="76" t="str">
        <f t="shared" si="11"/>
        <v/>
      </c>
    </row>
    <row r="753" spans="3:3" x14ac:dyDescent="0.4">
      <c r="C753" s="76" t="str">
        <f t="shared" si="11"/>
        <v/>
      </c>
    </row>
    <row r="754" spans="3:3" x14ac:dyDescent="0.4">
      <c r="C754" s="76" t="str">
        <f t="shared" si="11"/>
        <v/>
      </c>
    </row>
    <row r="755" spans="3:3" x14ac:dyDescent="0.4">
      <c r="C755" s="76" t="str">
        <f t="shared" si="11"/>
        <v/>
      </c>
    </row>
    <row r="756" spans="3:3" x14ac:dyDescent="0.4">
      <c r="C756" s="76" t="str">
        <f t="shared" si="11"/>
        <v/>
      </c>
    </row>
    <row r="757" spans="3:3" x14ac:dyDescent="0.4">
      <c r="C757" s="76" t="str">
        <f t="shared" si="11"/>
        <v/>
      </c>
    </row>
    <row r="758" spans="3:3" x14ac:dyDescent="0.4">
      <c r="C758" s="76" t="str">
        <f t="shared" si="11"/>
        <v/>
      </c>
    </row>
    <row r="759" spans="3:3" x14ac:dyDescent="0.4">
      <c r="C759" s="76" t="str">
        <f t="shared" si="11"/>
        <v/>
      </c>
    </row>
    <row r="760" spans="3:3" x14ac:dyDescent="0.4">
      <c r="C760" s="76" t="str">
        <f t="shared" si="11"/>
        <v/>
      </c>
    </row>
    <row r="761" spans="3:3" x14ac:dyDescent="0.4">
      <c r="C761" s="76" t="str">
        <f t="shared" si="11"/>
        <v/>
      </c>
    </row>
    <row r="762" spans="3:3" x14ac:dyDescent="0.4">
      <c r="C762" s="76" t="str">
        <f t="shared" si="11"/>
        <v/>
      </c>
    </row>
    <row r="763" spans="3:3" x14ac:dyDescent="0.4">
      <c r="C763" s="76" t="str">
        <f t="shared" si="11"/>
        <v/>
      </c>
    </row>
    <row r="764" spans="3:3" x14ac:dyDescent="0.4">
      <c r="C764" s="76" t="str">
        <f t="shared" si="11"/>
        <v/>
      </c>
    </row>
    <row r="765" spans="3:3" x14ac:dyDescent="0.4">
      <c r="C765" s="76" t="str">
        <f t="shared" si="11"/>
        <v/>
      </c>
    </row>
    <row r="766" spans="3:3" x14ac:dyDescent="0.4">
      <c r="C766" s="76" t="str">
        <f t="shared" si="11"/>
        <v/>
      </c>
    </row>
    <row r="767" spans="3:3" x14ac:dyDescent="0.4">
      <c r="C767" s="76" t="str">
        <f t="shared" si="11"/>
        <v/>
      </c>
    </row>
    <row r="768" spans="3:3" x14ac:dyDescent="0.4">
      <c r="C768" s="76" t="str">
        <f t="shared" si="11"/>
        <v/>
      </c>
    </row>
    <row r="769" spans="3:3" x14ac:dyDescent="0.4">
      <c r="C769" s="76" t="str">
        <f t="shared" si="11"/>
        <v/>
      </c>
    </row>
    <row r="770" spans="3:3" x14ac:dyDescent="0.4">
      <c r="C770" s="76" t="str">
        <f t="shared" si="11"/>
        <v/>
      </c>
    </row>
    <row r="771" spans="3:3" x14ac:dyDescent="0.4">
      <c r="C771" s="76" t="str">
        <f t="shared" si="11"/>
        <v/>
      </c>
    </row>
    <row r="772" spans="3:3" x14ac:dyDescent="0.4">
      <c r="C772" s="76" t="str">
        <f t="shared" si="11"/>
        <v/>
      </c>
    </row>
  </sheetData>
  <phoneticPr fontId="7" type="noConversion"/>
  <conditionalFormatting sqref="C5">
    <cfRule type="containsBlanks" dxfId="16" priority="18">
      <formula>LEN(TRIM(C5))=0</formula>
    </cfRule>
    <cfRule type="cellIs" dxfId="15" priority="19" operator="notEqual">
      <formula>TODAY()</formula>
    </cfRule>
    <cfRule type="cellIs" dxfId="14" priority="20" operator="equal">
      <formula>TODAY()</formula>
    </cfRule>
  </conditionalFormatting>
  <conditionalFormatting sqref="C6">
    <cfRule type="cellIs" dxfId="13" priority="12" operator="greaterThanOrEqual">
      <formula>0</formula>
    </cfRule>
    <cfRule type="cellIs" dxfId="12" priority="13" operator="greaterThanOrEqual">
      <formula>0</formula>
    </cfRule>
    <cfRule type="cellIs" dxfId="11" priority="14" operator="lessThan">
      <formula>0</formula>
    </cfRule>
  </conditionalFormatting>
  <conditionalFormatting sqref="C11:C12 C14">
    <cfRule type="cellIs" dxfId="10" priority="29" operator="equal">
      <formula>0</formula>
    </cfRule>
    <cfRule type="cellIs" dxfId="9" priority="30" operator="notEqual">
      <formula>0</formula>
    </cfRule>
  </conditionalFormatting>
  <conditionalFormatting sqref="D17:D19 G17:G19">
    <cfRule type="expression" dxfId="8" priority="21">
      <formula>$D17="Pagamento"</formula>
    </cfRule>
    <cfRule type="expression" dxfId="7" priority="23">
      <formula>$D17="Perdas"</formula>
    </cfRule>
    <cfRule type="expression" dxfId="6" priority="24">
      <formula>$D17="Despesas"</formula>
    </cfRule>
  </conditionalFormatting>
  <conditionalFormatting sqref="F17:F19">
    <cfRule type="expression" dxfId="5" priority="17">
      <formula>$F17="Dívidas"</formula>
    </cfRule>
  </conditionalFormatting>
  <conditionalFormatting sqref="L6">
    <cfRule type="cellIs" dxfId="4" priority="4" operator="greaterThanOrEqual">
      <formula>0</formula>
    </cfRule>
    <cfRule type="cellIs" dxfId="3" priority="5" operator="greaterThanOrEqual">
      <formula>0</formula>
    </cfRule>
    <cfRule type="cellIs" dxfId="2" priority="6" operator="lessThan">
      <formula>0</formula>
    </cfRule>
  </conditionalFormatting>
  <conditionalFormatting sqref="L11:L13">
    <cfRule type="cellIs" dxfId="1" priority="10" operator="equal">
      <formula>0</formula>
    </cfRule>
    <cfRule type="cellIs" dxfId="0" priority="11" operator="notEqual">
      <formula>0</formula>
    </cfRule>
  </conditionalFormatting>
  <dataValidations count="5">
    <dataValidation type="list" allowBlank="1" showInputMessage="1" showErrorMessage="1" sqref="B3" xr:uid="{60D5F252-CE9E-4A5F-916C-4BCED7BE4850}">
      <formula1>"Despesas, Receita Líquida"</formula1>
    </dataValidation>
    <dataValidation type="list" allowBlank="1" showInputMessage="1" showErrorMessage="1" sqref="D20:D244" xr:uid="{4E564D7B-00FF-4101-8D9D-5EA4D9B1919A}">
      <formula1>"Receitas, Perdas, Investimentos, Despesas, Transferir"</formula1>
    </dataValidation>
    <dataValidation type="list" allowBlank="1" showInputMessage="1" showErrorMessage="1" sqref="D17:D19" xr:uid="{59AE1666-9FDA-45C5-A7FC-F1B5B2800C63}">
      <formula1>"Receitas, Perdas, Investimentos, Despesas, Transferir, Pagamento"</formula1>
    </dataValidation>
    <dataValidation type="list" allowBlank="1" showInputMessage="1" showErrorMessage="1" sqref="E17:E244" xr:uid="{E4F2BDDC-1223-4DFF-8087-7B85DF038B73}">
      <formula1>INDIRECT(D17)</formula1>
    </dataValidation>
    <dataValidation type="list" allowBlank="1" showInputMessage="1" showErrorMessage="1" sqref="F17:F244" xr:uid="{0D51CC9B-6F94-4F85-BAFC-26C786BB30BC}">
      <formula1>Contas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1:M22"/>
  <sheetViews>
    <sheetView zoomScale="130" zoomScaleNormal="130" workbookViewId="0">
      <pane xSplit="1" topLeftCell="B1" activePane="topRight" state="frozen"/>
      <selection pane="topRight" activeCell="A5" sqref="A5"/>
    </sheetView>
  </sheetViews>
  <sheetFormatPr defaultColWidth="9.109375" defaultRowHeight="16.2" x14ac:dyDescent="0.4"/>
  <cols>
    <col min="1" max="1" width="17.88671875" style="3" customWidth="1"/>
    <col min="2" max="13" width="15" style="3" customWidth="1"/>
    <col min="14" max="14" width="5.6640625" style="3" customWidth="1"/>
    <col min="15" max="15" width="4.33203125" style="3" customWidth="1"/>
    <col min="16" max="16384" width="9.109375" style="3"/>
  </cols>
  <sheetData>
    <row r="1" spans="1:13" ht="17.399999999999999" customHeight="1" x14ac:dyDescent="0.4"/>
    <row r="2" spans="1:13" ht="17.399999999999999" customHeight="1" x14ac:dyDescent="0.4">
      <c r="A2" s="51" t="s">
        <v>75</v>
      </c>
      <c r="B2" s="53">
        <f>SUM('Validação de Dados'!C5:C8)-SUM('Validação de Dados'!C9:C10)</f>
        <v>0</v>
      </c>
    </row>
    <row r="3" spans="1:13" ht="17.399999999999999" customHeight="1" x14ac:dyDescent="0.4"/>
    <row r="4" spans="1:13" ht="17.399999999999999" customHeight="1" x14ac:dyDescent="0.4">
      <c r="B4" s="50" t="str" cm="1">
        <f t="array" ref="B4:M4">TRANSPOSE(Meses)</f>
        <v>Janeiro</v>
      </c>
      <c r="C4" s="50" t="str">
        <v>Fevereiro</v>
      </c>
      <c r="D4" s="50" t="str">
        <v>Março</v>
      </c>
      <c r="E4" s="50" t="str">
        <v>Abril</v>
      </c>
      <c r="F4" s="50" t="str">
        <v>Maio</v>
      </c>
      <c r="G4" s="50" t="str">
        <v>Junho</v>
      </c>
      <c r="H4" s="50" t="str">
        <v>Julho</v>
      </c>
      <c r="I4" s="50" t="str">
        <v>Agosto</v>
      </c>
      <c r="J4" s="50" t="str">
        <v>Setembro</v>
      </c>
      <c r="K4" s="50" t="str">
        <v>Outubro</v>
      </c>
      <c r="L4" s="50" t="str">
        <v>Novembro</v>
      </c>
      <c r="M4" s="50" t="str">
        <v>Dezembro</v>
      </c>
    </row>
    <row r="5" spans="1:13" ht="17.399999999999999" customHeight="1" x14ac:dyDescent="0.4">
      <c r="A5" s="37" t="str" cm="1">
        <f t="array" ref="A5:A16">Receita_Líquida</f>
        <v>Salário</v>
      </c>
      <c r="B5" s="48">
        <f>SUMIFS(Tabela1[Valor],Tabela1[Mês],B$4,Tabela1[Categoria],$A5)</f>
        <v>0</v>
      </c>
      <c r="C5" s="48">
        <f>SUMIFS(Tabela1[Valor],Tabela1[Mês],C$4,Tabela1[Categoria],$A5)</f>
        <v>0</v>
      </c>
      <c r="D5" s="48">
        <f>SUMIFS(Tabela1[Valor],Tabela1[Mês],D$4,Tabela1[Categoria],$A5)</f>
        <v>0</v>
      </c>
      <c r="E5" s="48">
        <f>SUMIFS(Tabela1[Valor],Tabela1[Mês],E$4,Tabela1[Categoria],$A5)</f>
        <v>0</v>
      </c>
      <c r="F5" s="48">
        <f>SUMIFS(Tabela1[Valor],Tabela1[Mês],F$4,Tabela1[Categoria],$A5)</f>
        <v>0</v>
      </c>
      <c r="G5" s="48">
        <f>SUMIFS(Tabela1[Valor],Tabela1[Mês],G$4,Tabela1[Categoria],$A5)</f>
        <v>0</v>
      </c>
      <c r="H5" s="48">
        <f>SUMIFS(Tabela1[Valor],Tabela1[Mês],H$4,Tabela1[Categoria],$A5)</f>
        <v>0</v>
      </c>
      <c r="I5" s="48">
        <f>SUMIFS(Tabela1[Valor],Tabela1[Mês],I$4,Tabela1[Categoria],$A5)</f>
        <v>0</v>
      </c>
      <c r="J5" s="48">
        <f>SUMIFS(Tabela1[Valor],Tabela1[Mês],J$4,Tabela1[Categoria],$A5)</f>
        <v>0</v>
      </c>
      <c r="K5" s="48">
        <f>SUMIFS(Tabela1[Valor],Tabela1[Mês],K$4,Tabela1[Categoria],$A5)</f>
        <v>0</v>
      </c>
      <c r="L5" s="48">
        <f>SUMIFS(Tabela1[Valor],Tabela1[Mês],L$4,Tabela1[Categoria],$A5)</f>
        <v>0</v>
      </c>
      <c r="M5" s="48">
        <f>SUMIFS(Tabela1[Valor],Tabela1[Mês],M$4,Tabela1[Categoria],$A5)</f>
        <v>0</v>
      </c>
    </row>
    <row r="6" spans="1:13" ht="17.399999999999999" customHeight="1" x14ac:dyDescent="0.4">
      <c r="A6" s="37" t="str">
        <v>Vendas</v>
      </c>
      <c r="B6" s="48">
        <f>SUMIFS(Tabela1[Valor],Tabela1[Mês],B$4,Tabela1[Categoria],$A6)</f>
        <v>0</v>
      </c>
      <c r="C6" s="48">
        <f>SUMIFS(Tabela1[Valor],Tabela1[Mês],C$4,Tabela1[Categoria],$A6)</f>
        <v>0</v>
      </c>
      <c r="D6" s="48">
        <f>SUMIFS(Tabela1[Valor],Tabela1[Mês],D$4,Tabela1[Categoria],$A6)</f>
        <v>0</v>
      </c>
      <c r="E6" s="48">
        <f>SUMIFS(Tabela1[Valor],Tabela1[Mês],E$4,Tabela1[Categoria],$A6)</f>
        <v>0</v>
      </c>
      <c r="F6" s="48">
        <f>SUMIFS(Tabela1[Valor],Tabela1[Mês],F$4,Tabela1[Categoria],$A6)</f>
        <v>0</v>
      </c>
      <c r="G6" s="48">
        <f>SUMIFS(Tabela1[Valor],Tabela1[Mês],G$4,Tabela1[Categoria],$A6)</f>
        <v>0</v>
      </c>
      <c r="H6" s="48">
        <f>SUMIFS(Tabela1[Valor],Tabela1[Mês],H$4,Tabela1[Categoria],$A6)</f>
        <v>0</v>
      </c>
      <c r="I6" s="48">
        <f>SUMIFS(Tabela1[Valor],Tabela1[Mês],I$4,Tabela1[Categoria],$A6)</f>
        <v>0</v>
      </c>
      <c r="J6" s="48">
        <f>SUMIFS(Tabela1[Valor],Tabela1[Mês],J$4,Tabela1[Categoria],$A6)</f>
        <v>0</v>
      </c>
      <c r="K6" s="48">
        <f>SUMIFS(Tabela1[Valor],Tabela1[Mês],K$4,Tabela1[Categoria],$A6)</f>
        <v>0</v>
      </c>
      <c r="L6" s="48">
        <f>SUMIFS(Tabela1[Valor],Tabela1[Mês],L$4,Tabela1[Categoria],$A6)</f>
        <v>0</v>
      </c>
      <c r="M6" s="48">
        <f>SUMIFS(Tabela1[Valor],Tabela1[Mês],M$4,Tabela1[Categoria],$A6)</f>
        <v>0</v>
      </c>
    </row>
    <row r="7" spans="1:13" ht="17.399999999999999" customHeight="1" x14ac:dyDescent="0.4">
      <c r="A7" s="37" t="str">
        <v>Aluguel</v>
      </c>
      <c r="B7" s="48">
        <f>SUMIFS(Tabela1[Valor],Tabela1[Mês],B$4,Tabela1[Categoria],$A7)</f>
        <v>0</v>
      </c>
      <c r="C7" s="48">
        <f>SUMIFS(Tabela1[Valor],Tabela1[Mês],C$4,Tabela1[Categoria],$A7)</f>
        <v>0</v>
      </c>
      <c r="D7" s="48">
        <f>SUMIFS(Tabela1[Valor],Tabela1[Mês],D$4,Tabela1[Categoria],$A7)</f>
        <v>0</v>
      </c>
      <c r="E7" s="48">
        <f>SUMIFS(Tabela1[Valor],Tabela1[Mês],E$4,Tabela1[Categoria],$A7)</f>
        <v>0</v>
      </c>
      <c r="F7" s="48">
        <f>SUMIFS(Tabela1[Valor],Tabela1[Mês],F$4,Tabela1[Categoria],$A7)</f>
        <v>0</v>
      </c>
      <c r="G7" s="48">
        <f>SUMIFS(Tabela1[Valor],Tabela1[Mês],G$4,Tabela1[Categoria],$A7)</f>
        <v>0</v>
      </c>
      <c r="H7" s="48">
        <f>SUMIFS(Tabela1[Valor],Tabela1[Mês],H$4,Tabela1[Categoria],$A7)</f>
        <v>0</v>
      </c>
      <c r="I7" s="48">
        <f>SUMIFS(Tabela1[Valor],Tabela1[Mês],I$4,Tabela1[Categoria],$A7)</f>
        <v>0</v>
      </c>
      <c r="J7" s="48">
        <f>SUMIFS(Tabela1[Valor],Tabela1[Mês],J$4,Tabela1[Categoria],$A7)</f>
        <v>0</v>
      </c>
      <c r="K7" s="48">
        <f>SUMIFS(Tabela1[Valor],Tabela1[Mês],K$4,Tabela1[Categoria],$A7)</f>
        <v>0</v>
      </c>
      <c r="L7" s="48">
        <f>SUMIFS(Tabela1[Valor],Tabela1[Mês],L$4,Tabela1[Categoria],$A7)</f>
        <v>0</v>
      </c>
      <c r="M7" s="48">
        <f>SUMIFS(Tabela1[Valor],Tabela1[Mês],M$4,Tabela1[Categoria],$A7)</f>
        <v>0</v>
      </c>
    </row>
    <row r="8" spans="1:13" ht="17.399999999999999" customHeight="1" x14ac:dyDescent="0.4">
      <c r="A8" s="37" t="str">
        <v>Rendimentos</v>
      </c>
      <c r="B8" s="48">
        <f>SUMIFS(Tabela1[Valor],Tabela1[Mês],B$4,Tabela1[Categoria],$A8)</f>
        <v>0</v>
      </c>
      <c r="C8" s="48">
        <f>SUMIFS(Tabela1[Valor],Tabela1[Mês],C$4,Tabela1[Categoria],$A8)</f>
        <v>0</v>
      </c>
      <c r="D8" s="48">
        <f>SUMIFS(Tabela1[Valor],Tabela1[Mês],D$4,Tabela1[Categoria],$A8)</f>
        <v>0</v>
      </c>
      <c r="E8" s="48">
        <f>SUMIFS(Tabela1[Valor],Tabela1[Mês],E$4,Tabela1[Categoria],$A8)</f>
        <v>0</v>
      </c>
      <c r="F8" s="48">
        <f>SUMIFS(Tabela1[Valor],Tabela1[Mês],F$4,Tabela1[Categoria],$A8)</f>
        <v>0</v>
      </c>
      <c r="G8" s="48">
        <f>SUMIFS(Tabela1[Valor],Tabela1[Mês],G$4,Tabela1[Categoria],$A8)</f>
        <v>0</v>
      </c>
      <c r="H8" s="48">
        <f>SUMIFS(Tabela1[Valor],Tabela1[Mês],H$4,Tabela1[Categoria],$A8)</f>
        <v>0</v>
      </c>
      <c r="I8" s="48">
        <f>SUMIFS(Tabela1[Valor],Tabela1[Mês],I$4,Tabela1[Categoria],$A8)</f>
        <v>0</v>
      </c>
      <c r="J8" s="48">
        <f>SUMIFS(Tabela1[Valor],Tabela1[Mês],J$4,Tabela1[Categoria],$A8)</f>
        <v>0</v>
      </c>
      <c r="K8" s="48">
        <f>SUMIFS(Tabela1[Valor],Tabela1[Mês],K$4,Tabela1[Categoria],$A8)</f>
        <v>0</v>
      </c>
      <c r="L8" s="48">
        <f>SUMIFS(Tabela1[Valor],Tabela1[Mês],L$4,Tabela1[Categoria],$A8)</f>
        <v>0</v>
      </c>
      <c r="M8" s="48">
        <f>SUMIFS(Tabela1[Valor],Tabela1[Mês],M$4,Tabela1[Categoria],$A8)</f>
        <v>0</v>
      </c>
    </row>
    <row r="9" spans="1:13" ht="17.399999999999999" customHeight="1" x14ac:dyDescent="0.4">
      <c r="A9" s="37" t="str">
        <v>Receitas Outros</v>
      </c>
      <c r="B9" s="48">
        <f>SUMIFS(Tabela1[Valor],Tabela1[Mês],B$4,Tabela1[Categoria],$A9)</f>
        <v>0</v>
      </c>
      <c r="C9" s="48">
        <f>SUMIFS(Tabela1[Valor],Tabela1[Mês],C$4,Tabela1[Categoria],$A9)</f>
        <v>0</v>
      </c>
      <c r="D9" s="48">
        <f>SUMIFS(Tabela1[Valor],Tabela1[Mês],D$4,Tabela1[Categoria],$A9)</f>
        <v>0</v>
      </c>
      <c r="E9" s="48">
        <f>SUMIFS(Tabela1[Valor],Tabela1[Mês],E$4,Tabela1[Categoria],$A9)</f>
        <v>0</v>
      </c>
      <c r="F9" s="48">
        <f>SUMIFS(Tabela1[Valor],Tabela1[Mês],F$4,Tabela1[Categoria],$A9)</f>
        <v>0</v>
      </c>
      <c r="G9" s="48">
        <f>SUMIFS(Tabela1[Valor],Tabela1[Mês],G$4,Tabela1[Categoria],$A9)</f>
        <v>0</v>
      </c>
      <c r="H9" s="48">
        <f>SUMIFS(Tabela1[Valor],Tabela1[Mês],H$4,Tabela1[Categoria],$A9)</f>
        <v>0</v>
      </c>
      <c r="I9" s="48">
        <f>SUMIFS(Tabela1[Valor],Tabela1[Mês],I$4,Tabela1[Categoria],$A9)</f>
        <v>0</v>
      </c>
      <c r="J9" s="48">
        <f>SUMIFS(Tabela1[Valor],Tabela1[Mês],J$4,Tabela1[Categoria],$A9)</f>
        <v>0</v>
      </c>
      <c r="K9" s="48">
        <f>SUMIFS(Tabela1[Valor],Tabela1[Mês],K$4,Tabela1[Categoria],$A9)</f>
        <v>0</v>
      </c>
      <c r="L9" s="48">
        <f>SUMIFS(Tabela1[Valor],Tabela1[Mês],L$4,Tabela1[Categoria],$A9)</f>
        <v>0</v>
      </c>
      <c r="M9" s="48">
        <f>SUMIFS(Tabela1[Valor],Tabela1[Mês],M$4,Tabela1[Categoria],$A9)</f>
        <v>0</v>
      </c>
    </row>
    <row r="10" spans="1:13" ht="17.399999999999999" customHeight="1" x14ac:dyDescent="0.4">
      <c r="A10" s="37" t="str">
        <v>Inss</v>
      </c>
      <c r="B10" s="48">
        <f>SUMIFS(Tabela1[Valor],Tabela1[Mês],B$4,Tabela1[Categoria],$A10)</f>
        <v>0</v>
      </c>
      <c r="C10" s="48">
        <f>SUMIFS(Tabela1[Valor],Tabela1[Mês],C$4,Tabela1[Categoria],$A10)</f>
        <v>0</v>
      </c>
      <c r="D10" s="48">
        <f>SUMIFS(Tabela1[Valor],Tabela1[Mês],D$4,Tabela1[Categoria],$A10)</f>
        <v>0</v>
      </c>
      <c r="E10" s="48">
        <f>SUMIFS(Tabela1[Valor],Tabela1[Mês],E$4,Tabela1[Categoria],$A10)</f>
        <v>0</v>
      </c>
      <c r="F10" s="48">
        <f>SUMIFS(Tabela1[Valor],Tabela1[Mês],F$4,Tabela1[Categoria],$A10)</f>
        <v>0</v>
      </c>
      <c r="G10" s="48">
        <f>SUMIFS(Tabela1[Valor],Tabela1[Mês],G$4,Tabela1[Categoria],$A10)</f>
        <v>0</v>
      </c>
      <c r="H10" s="48">
        <f>SUMIFS(Tabela1[Valor],Tabela1[Mês],H$4,Tabela1[Categoria],$A10)</f>
        <v>0</v>
      </c>
      <c r="I10" s="48">
        <f>SUMIFS(Tabela1[Valor],Tabela1[Mês],I$4,Tabela1[Categoria],$A10)</f>
        <v>0</v>
      </c>
      <c r="J10" s="48">
        <f>SUMIFS(Tabela1[Valor],Tabela1[Mês],J$4,Tabela1[Categoria],$A10)</f>
        <v>0</v>
      </c>
      <c r="K10" s="48">
        <f>SUMIFS(Tabela1[Valor],Tabela1[Mês],K$4,Tabela1[Categoria],$A10)</f>
        <v>0</v>
      </c>
      <c r="L10" s="48">
        <f>SUMIFS(Tabela1[Valor],Tabela1[Mês],L$4,Tabela1[Categoria],$A10)</f>
        <v>0</v>
      </c>
      <c r="M10" s="48">
        <f>SUMIFS(Tabela1[Valor],Tabela1[Mês],M$4,Tabela1[Categoria],$A10)</f>
        <v>0</v>
      </c>
    </row>
    <row r="11" spans="1:13" ht="17.399999999999999" customHeight="1" x14ac:dyDescent="0.4">
      <c r="A11" s="37" t="str">
        <v>T. Transporte</v>
      </c>
      <c r="B11" s="48">
        <f>SUMIFS(Tabela1[Valor],Tabela1[Mês],B$4,Tabela1[Categoria],$A11)</f>
        <v>0</v>
      </c>
      <c r="C11" s="48">
        <f>SUMIFS(Tabela1[Valor],Tabela1[Mês],C$4,Tabela1[Categoria],$A11)</f>
        <v>0</v>
      </c>
      <c r="D11" s="48">
        <f>SUMIFS(Tabela1[Valor],Tabela1[Mês],D$4,Tabela1[Categoria],$A11)</f>
        <v>0</v>
      </c>
      <c r="E11" s="48">
        <f>SUMIFS(Tabela1[Valor],Tabela1[Mês],E$4,Tabela1[Categoria],$A11)</f>
        <v>0</v>
      </c>
      <c r="F11" s="48">
        <f>SUMIFS(Tabela1[Valor],Tabela1[Mês],F$4,Tabela1[Categoria],$A11)</f>
        <v>0</v>
      </c>
      <c r="G11" s="48">
        <f>SUMIFS(Tabela1[Valor],Tabela1[Mês],G$4,Tabela1[Categoria],$A11)</f>
        <v>0</v>
      </c>
      <c r="H11" s="48">
        <f>SUMIFS(Tabela1[Valor],Tabela1[Mês],H$4,Tabela1[Categoria],$A11)</f>
        <v>0</v>
      </c>
      <c r="I11" s="48">
        <f>SUMIFS(Tabela1[Valor],Tabela1[Mês],I$4,Tabela1[Categoria],$A11)</f>
        <v>0</v>
      </c>
      <c r="J11" s="48">
        <f>SUMIFS(Tabela1[Valor],Tabela1[Mês],J$4,Tabela1[Categoria],$A11)</f>
        <v>0</v>
      </c>
      <c r="K11" s="48">
        <f>SUMIFS(Tabela1[Valor],Tabela1[Mês],K$4,Tabela1[Categoria],$A11)</f>
        <v>0</v>
      </c>
      <c r="L11" s="48">
        <f>SUMIFS(Tabela1[Valor],Tabela1[Mês],L$4,Tabela1[Categoria],$A11)</f>
        <v>0</v>
      </c>
      <c r="M11" s="48">
        <f>SUMIFS(Tabela1[Valor],Tabela1[Mês],M$4,Tabela1[Categoria],$A11)</f>
        <v>0</v>
      </c>
    </row>
    <row r="12" spans="1:13" ht="17.399999999999999" customHeight="1" x14ac:dyDescent="0.4">
      <c r="A12" s="37" t="str">
        <v>Taxa</v>
      </c>
      <c r="B12" s="48">
        <f>SUMIFS(Tabela1[Valor],Tabela1[Mês],B$4,Tabela1[Categoria],$A12)</f>
        <v>0</v>
      </c>
      <c r="C12" s="48">
        <f>SUMIFS(Tabela1[Valor],Tabela1[Mês],C$4,Tabela1[Categoria],$A12)</f>
        <v>0</v>
      </c>
      <c r="D12" s="48">
        <f>SUMIFS(Tabela1[Valor],Tabela1[Mês],D$4,Tabela1[Categoria],$A12)</f>
        <v>0</v>
      </c>
      <c r="E12" s="48">
        <f>SUMIFS(Tabela1[Valor],Tabela1[Mês],E$4,Tabela1[Categoria],$A12)</f>
        <v>0</v>
      </c>
      <c r="F12" s="48">
        <f>SUMIFS(Tabela1[Valor],Tabela1[Mês],F$4,Tabela1[Categoria],$A12)</f>
        <v>0</v>
      </c>
      <c r="G12" s="48">
        <f>SUMIFS(Tabela1[Valor],Tabela1[Mês],G$4,Tabela1[Categoria],$A12)</f>
        <v>0</v>
      </c>
      <c r="H12" s="48">
        <f>SUMIFS(Tabela1[Valor],Tabela1[Mês],H$4,Tabela1[Categoria],$A12)</f>
        <v>0</v>
      </c>
      <c r="I12" s="48">
        <f>SUMIFS(Tabela1[Valor],Tabela1[Mês],I$4,Tabela1[Categoria],$A12)</f>
        <v>0</v>
      </c>
      <c r="J12" s="48">
        <f>SUMIFS(Tabela1[Valor],Tabela1[Mês],J$4,Tabela1[Categoria],$A12)</f>
        <v>0</v>
      </c>
      <c r="K12" s="48">
        <f>SUMIFS(Tabela1[Valor],Tabela1[Mês],K$4,Tabela1[Categoria],$A12)</f>
        <v>0</v>
      </c>
      <c r="L12" s="48">
        <f>SUMIFS(Tabela1[Valor],Tabela1[Mês],L$4,Tabela1[Categoria],$A12)</f>
        <v>0</v>
      </c>
      <c r="M12" s="48">
        <f>SUMIFS(Tabela1[Valor],Tabela1[Mês],M$4,Tabela1[Categoria],$A12)</f>
        <v>0</v>
      </c>
    </row>
    <row r="13" spans="1:13" ht="17.399999999999999" customHeight="1" x14ac:dyDescent="0.4">
      <c r="A13" s="37" t="str">
        <v>Imposto</v>
      </c>
      <c r="B13" s="48">
        <f>SUMIFS(Tabela1[Valor],Tabela1[Mês],B$4,Tabela1[Categoria],$A13)</f>
        <v>0</v>
      </c>
      <c r="C13" s="48">
        <f>SUMIFS(Tabela1[Valor],Tabela1[Mês],C$4,Tabela1[Categoria],$A13)</f>
        <v>0</v>
      </c>
      <c r="D13" s="48">
        <f>SUMIFS(Tabela1[Valor],Tabela1[Mês],D$4,Tabela1[Categoria],$A13)</f>
        <v>0</v>
      </c>
      <c r="E13" s="48">
        <f>SUMIFS(Tabela1[Valor],Tabela1[Mês],E$4,Tabela1[Categoria],$A13)</f>
        <v>0</v>
      </c>
      <c r="F13" s="48">
        <f>SUMIFS(Tabela1[Valor],Tabela1[Mês],F$4,Tabela1[Categoria],$A13)</f>
        <v>0</v>
      </c>
      <c r="G13" s="48">
        <f>SUMIFS(Tabela1[Valor],Tabela1[Mês],G$4,Tabela1[Categoria],$A13)</f>
        <v>0</v>
      </c>
      <c r="H13" s="48">
        <f>SUMIFS(Tabela1[Valor],Tabela1[Mês],H$4,Tabela1[Categoria],$A13)</f>
        <v>0</v>
      </c>
      <c r="I13" s="48">
        <f>SUMIFS(Tabela1[Valor],Tabela1[Mês],I$4,Tabela1[Categoria],$A13)</f>
        <v>0</v>
      </c>
      <c r="J13" s="48">
        <f>SUMIFS(Tabela1[Valor],Tabela1[Mês],J$4,Tabela1[Categoria],$A13)</f>
        <v>0</v>
      </c>
      <c r="K13" s="48">
        <f>SUMIFS(Tabela1[Valor],Tabela1[Mês],K$4,Tabela1[Categoria],$A13)</f>
        <v>0</v>
      </c>
      <c r="L13" s="48">
        <f>SUMIFS(Tabela1[Valor],Tabela1[Mês],L$4,Tabela1[Categoria],$A13)</f>
        <v>0</v>
      </c>
      <c r="M13" s="48">
        <f>SUMIFS(Tabela1[Valor],Tabela1[Mês],M$4,Tabela1[Categoria],$A13)</f>
        <v>0</v>
      </c>
    </row>
    <row r="14" spans="1:13" ht="17.399999999999999" customHeight="1" x14ac:dyDescent="0.4">
      <c r="A14" s="37" t="str">
        <v>Perdas Outros</v>
      </c>
      <c r="B14" s="48">
        <f>SUMIFS(Tabela1[Valor],Tabela1[Mês],B$4,Tabela1[Categoria],$A14)</f>
        <v>0</v>
      </c>
      <c r="C14" s="48">
        <f>SUMIFS(Tabela1[Valor],Tabela1[Mês],C$4,Tabela1[Categoria],$A14)</f>
        <v>0</v>
      </c>
      <c r="D14" s="48">
        <f>SUMIFS(Tabela1[Valor],Tabela1[Mês],D$4,Tabela1[Categoria],$A14)</f>
        <v>0</v>
      </c>
      <c r="E14" s="48">
        <f>SUMIFS(Tabela1[Valor],Tabela1[Mês],E$4,Tabela1[Categoria],$A14)</f>
        <v>0</v>
      </c>
      <c r="F14" s="48">
        <f>SUMIFS(Tabela1[Valor],Tabela1[Mês],F$4,Tabela1[Categoria],$A14)</f>
        <v>0</v>
      </c>
      <c r="G14" s="48">
        <f>SUMIFS(Tabela1[Valor],Tabela1[Mês],G$4,Tabela1[Categoria],$A14)</f>
        <v>0</v>
      </c>
      <c r="H14" s="48">
        <f>SUMIFS(Tabela1[Valor],Tabela1[Mês],H$4,Tabela1[Categoria],$A14)</f>
        <v>0</v>
      </c>
      <c r="I14" s="48">
        <f>SUMIFS(Tabela1[Valor],Tabela1[Mês],I$4,Tabela1[Categoria],$A14)</f>
        <v>0</v>
      </c>
      <c r="J14" s="48">
        <f>SUMIFS(Tabela1[Valor],Tabela1[Mês],J$4,Tabela1[Categoria],$A14)</f>
        <v>0</v>
      </c>
      <c r="K14" s="48">
        <f>SUMIFS(Tabela1[Valor],Tabela1[Mês],K$4,Tabela1[Categoria],$A14)</f>
        <v>0</v>
      </c>
      <c r="L14" s="48">
        <f>SUMIFS(Tabela1[Valor],Tabela1[Mês],L$4,Tabela1[Categoria],$A14)</f>
        <v>0</v>
      </c>
      <c r="M14" s="48">
        <f>SUMIFS(Tabela1[Valor],Tabela1[Mês],M$4,Tabela1[Categoria],$A14)</f>
        <v>0</v>
      </c>
    </row>
    <row r="15" spans="1:13" ht="17.399999999999999" customHeight="1" x14ac:dyDescent="0.4">
      <c r="A15" s="37" t="str">
        <v>CDI</v>
      </c>
      <c r="B15" s="48">
        <f>SUMIFS(Tabela1[Valor],Tabela1[Mês],B$4,Tabela1[Categoria],$A15)</f>
        <v>0</v>
      </c>
      <c r="C15" s="48">
        <f>SUMIFS(Tabela1[Valor],Tabela1[Mês],C$4,Tabela1[Categoria],$A15)</f>
        <v>0</v>
      </c>
      <c r="D15" s="48">
        <f>SUMIFS(Tabela1[Valor],Tabela1[Mês],D$4,Tabela1[Categoria],$A15)</f>
        <v>0</v>
      </c>
      <c r="E15" s="48">
        <f>SUMIFS(Tabela1[Valor],Tabela1[Mês],E$4,Tabela1[Categoria],$A15)</f>
        <v>0</v>
      </c>
      <c r="F15" s="48">
        <f>SUMIFS(Tabela1[Valor],Tabela1[Mês],F$4,Tabela1[Categoria],$A15)</f>
        <v>0</v>
      </c>
      <c r="G15" s="48">
        <f>SUMIFS(Tabela1[Valor],Tabela1[Mês],G$4,Tabela1[Categoria],$A15)</f>
        <v>0</v>
      </c>
      <c r="H15" s="48">
        <f>SUMIFS(Tabela1[Valor],Tabela1[Mês],H$4,Tabela1[Categoria],$A15)</f>
        <v>0</v>
      </c>
      <c r="I15" s="48">
        <f>SUMIFS(Tabela1[Valor],Tabela1[Mês],I$4,Tabela1[Categoria],$A15)</f>
        <v>0</v>
      </c>
      <c r="J15" s="48">
        <f>SUMIFS(Tabela1[Valor],Tabela1[Mês],J$4,Tabela1[Categoria],$A15)</f>
        <v>0</v>
      </c>
      <c r="K15" s="48">
        <f>SUMIFS(Tabela1[Valor],Tabela1[Mês],K$4,Tabela1[Categoria],$A15)</f>
        <v>0</v>
      </c>
      <c r="L15" s="48">
        <f>SUMIFS(Tabela1[Valor],Tabela1[Mês],L$4,Tabela1[Categoria],$A15)</f>
        <v>0</v>
      </c>
      <c r="M15" s="48">
        <f>SUMIFS(Tabela1[Valor],Tabela1[Mês],M$4,Tabela1[Categoria],$A15)</f>
        <v>0</v>
      </c>
    </row>
    <row r="16" spans="1:13" ht="17.399999999999999" customHeight="1" x14ac:dyDescent="0.4">
      <c r="A16" s="37" t="str">
        <v>Tesouro Direto</v>
      </c>
      <c r="B16" s="48">
        <f>SUMIFS(Tabela1[Valor],Tabela1[Mês],B$4,Tabela1[Categoria],$A16)</f>
        <v>0</v>
      </c>
      <c r="C16" s="48">
        <f>SUMIFS(Tabela1[Valor],Tabela1[Mês],C$4,Tabela1[Categoria],$A16)</f>
        <v>0</v>
      </c>
      <c r="D16" s="48">
        <f>SUMIFS(Tabela1[Valor],Tabela1[Mês],D$4,Tabela1[Categoria],$A16)</f>
        <v>0</v>
      </c>
      <c r="E16" s="48">
        <f>SUMIFS(Tabela1[Valor],Tabela1[Mês],E$4,Tabela1[Categoria],$A16)</f>
        <v>0</v>
      </c>
      <c r="F16" s="48">
        <f>SUMIFS(Tabela1[Valor],Tabela1[Mês],F$4,Tabela1[Categoria],$A16)</f>
        <v>0</v>
      </c>
      <c r="G16" s="48">
        <f>SUMIFS(Tabela1[Valor],Tabela1[Mês],G$4,Tabela1[Categoria],$A16)</f>
        <v>0</v>
      </c>
      <c r="H16" s="48">
        <f>SUMIFS(Tabela1[Valor],Tabela1[Mês],H$4,Tabela1[Categoria],$A16)</f>
        <v>0</v>
      </c>
      <c r="I16" s="48">
        <f>SUMIFS(Tabela1[Valor],Tabela1[Mês],I$4,Tabela1[Categoria],$A16)</f>
        <v>0</v>
      </c>
      <c r="J16" s="48">
        <f>SUMIFS(Tabela1[Valor],Tabela1[Mês],J$4,Tabela1[Categoria],$A16)</f>
        <v>0</v>
      </c>
      <c r="K16" s="48">
        <f>SUMIFS(Tabela1[Valor],Tabela1[Mês],K$4,Tabela1[Categoria],$A16)</f>
        <v>0</v>
      </c>
      <c r="L16" s="48">
        <f>SUMIFS(Tabela1[Valor],Tabela1[Mês],L$4,Tabela1[Categoria],$A16)</f>
        <v>0</v>
      </c>
      <c r="M16" s="48">
        <f>SUMIFS(Tabela1[Valor],Tabela1[Mês],M$4,Tabela1[Categoria],$A16)</f>
        <v>0</v>
      </c>
    </row>
    <row r="17" spans="1:13" ht="17.399999999999999" customHeight="1" x14ac:dyDescent="0.4"/>
    <row r="18" spans="1:13" ht="17.399999999999999" customHeight="1" x14ac:dyDescent="0.4">
      <c r="A18" s="51" t="s">
        <v>8</v>
      </c>
      <c r="B18" s="2">
        <f>ROUND(SUM(B5:B9)-SUM(B10:B16),2)+B20+B2</f>
        <v>0</v>
      </c>
      <c r="C18" s="2">
        <f t="shared" ref="C18:M18" si="0">ROUND(SUM(C5:C9)-SUM(C10:C16),2)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</row>
    <row r="19" spans="1:13" ht="17.399999999999999" customHeight="1" x14ac:dyDescent="0.4"/>
    <row r="20" spans="1:13" ht="17.399999999999999" customHeight="1" x14ac:dyDescent="0.4">
      <c r="B20" s="10"/>
    </row>
    <row r="21" spans="1:13" ht="17.399999999999999" customHeight="1" x14ac:dyDescent="0.4"/>
    <row r="22" spans="1:13" ht="17.399999999999999" customHeight="1" x14ac:dyDescent="0.4"/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1:N24"/>
  <sheetViews>
    <sheetView zoomScale="130" zoomScaleNormal="130" workbookViewId="0">
      <pane xSplit="1" topLeftCell="B1" activePane="topRight" state="frozen"/>
      <selection activeCell="A4" sqref="A4"/>
      <selection pane="topRight" activeCell="A7" sqref="A7"/>
    </sheetView>
  </sheetViews>
  <sheetFormatPr defaultColWidth="9.109375" defaultRowHeight="16.2" x14ac:dyDescent="0.4"/>
  <cols>
    <col min="1" max="1" width="17.88671875" style="40" customWidth="1"/>
    <col min="2" max="13" width="15" style="40" customWidth="1"/>
    <col min="14" max="14" width="10.5546875" style="40" bestFit="1" customWidth="1"/>
    <col min="15" max="15" width="12.44140625" style="40" bestFit="1" customWidth="1"/>
    <col min="16" max="17" width="10.5546875" style="40" bestFit="1" customWidth="1"/>
    <col min="18" max="16384" width="9.109375" style="40"/>
  </cols>
  <sheetData>
    <row r="1" spans="1:13" ht="17.399999999999999" customHeight="1" x14ac:dyDescent="0.4"/>
    <row r="2" spans="1:13" s="38" customFormat="1" ht="17.399999999999999" customHeight="1" x14ac:dyDescent="0.4">
      <c r="A2" s="40"/>
      <c r="B2" s="50" t="str" cm="1">
        <f t="array" ref="B2:M2">TRANSPOSE(Meses)</f>
        <v>Janeiro</v>
      </c>
      <c r="C2" s="50" t="str">
        <v>Fevereiro</v>
      </c>
      <c r="D2" s="50" t="str">
        <v>Março</v>
      </c>
      <c r="E2" s="50" t="str">
        <v>Abril</v>
      </c>
      <c r="F2" s="50" t="str">
        <v>Maio</v>
      </c>
      <c r="G2" s="50" t="str">
        <v>Junho</v>
      </c>
      <c r="H2" s="50" t="str">
        <v>Julho</v>
      </c>
      <c r="I2" s="50" t="str">
        <v>Agosto</v>
      </c>
      <c r="J2" s="50" t="str">
        <v>Setembro</v>
      </c>
      <c r="K2" s="50" t="str">
        <v>Outubro</v>
      </c>
      <c r="L2" s="50" t="str">
        <v>Novembro</v>
      </c>
      <c r="M2" s="50" t="str">
        <v>Dezembro</v>
      </c>
    </row>
    <row r="3" spans="1:13" s="39" customFormat="1" ht="17.399999999999999" customHeight="1" x14ac:dyDescent="0.4">
      <c r="A3" s="59" t="s">
        <v>15</v>
      </c>
      <c r="B3" s="48">
        <f>'Receita Líquida'!B18</f>
        <v>0</v>
      </c>
      <c r="C3" s="48">
        <f>'Receita Líquida'!C18</f>
        <v>0</v>
      </c>
      <c r="D3" s="48">
        <f>'Receita Líquida'!D18</f>
        <v>0</v>
      </c>
      <c r="E3" s="48">
        <f>'Receita Líquida'!E18</f>
        <v>0</v>
      </c>
      <c r="F3" s="48">
        <f>'Receita Líquida'!F18</f>
        <v>0</v>
      </c>
      <c r="G3" s="48">
        <f>'Receita Líquida'!G18</f>
        <v>0</v>
      </c>
      <c r="H3" s="48">
        <f>'Receita Líquida'!H18</f>
        <v>0</v>
      </c>
      <c r="I3" s="48">
        <f>'Receita Líquida'!I18</f>
        <v>0</v>
      </c>
      <c r="J3" s="48">
        <f>'Receita Líquida'!J18</f>
        <v>0</v>
      </c>
      <c r="K3" s="48">
        <f>'Receita Líquida'!K18</f>
        <v>0</v>
      </c>
      <c r="L3" s="48">
        <f>'Receita Líquida'!L18</f>
        <v>0</v>
      </c>
      <c r="M3" s="48">
        <f>'Receita Líquida'!M18</f>
        <v>0</v>
      </c>
    </row>
    <row r="4" spans="1:13" ht="17.399999999999999" customHeight="1" x14ac:dyDescent="0.4">
      <c r="A4" s="59" t="s">
        <v>4</v>
      </c>
      <c r="B4" s="49">
        <f>B3-(SUM(B7:B18))</f>
        <v>0</v>
      </c>
      <c r="C4" s="49">
        <f>C3-(SUM(C7:C18))+B4</f>
        <v>0</v>
      </c>
      <c r="D4" s="49">
        <f t="shared" ref="D4:M4" si="0">D3-(SUM(D7:D18))+C4</f>
        <v>0</v>
      </c>
      <c r="E4" s="49">
        <f t="shared" si="0"/>
        <v>0</v>
      </c>
      <c r="F4" s="49">
        <f t="shared" si="0"/>
        <v>0</v>
      </c>
      <c r="G4" s="49">
        <f t="shared" si="0"/>
        <v>0</v>
      </c>
      <c r="H4" s="49">
        <f t="shared" si="0"/>
        <v>0</v>
      </c>
      <c r="I4" s="49">
        <f t="shared" si="0"/>
        <v>0</v>
      </c>
      <c r="J4" s="49">
        <f t="shared" si="0"/>
        <v>0</v>
      </c>
      <c r="K4" s="49">
        <f t="shared" si="0"/>
        <v>0</v>
      </c>
      <c r="L4" s="49">
        <f t="shared" si="0"/>
        <v>0</v>
      </c>
      <c r="M4" s="49">
        <f t="shared" si="0"/>
        <v>0</v>
      </c>
    </row>
    <row r="5" spans="1:13" ht="17.399999999999999" customHeight="1" x14ac:dyDescent="0.4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17.399999999999999" customHeight="1" x14ac:dyDescent="0.4">
      <c r="A6" s="50" t="s">
        <v>13</v>
      </c>
      <c r="B6" s="50" t="s">
        <v>25</v>
      </c>
      <c r="C6" s="50" t="s">
        <v>25</v>
      </c>
      <c r="D6" s="50" t="s">
        <v>25</v>
      </c>
      <c r="E6" s="50" t="s">
        <v>25</v>
      </c>
      <c r="F6" s="50" t="s">
        <v>25</v>
      </c>
      <c r="G6" s="50" t="s">
        <v>25</v>
      </c>
      <c r="H6" s="50" t="s">
        <v>25</v>
      </c>
      <c r="I6" s="50" t="s">
        <v>25</v>
      </c>
      <c r="J6" s="50" t="s">
        <v>25</v>
      </c>
      <c r="K6" s="50" t="s">
        <v>25</v>
      </c>
      <c r="L6" s="50" t="s">
        <v>25</v>
      </c>
      <c r="M6" s="50" t="s">
        <v>25</v>
      </c>
    </row>
    <row r="7" spans="1:13" ht="17.399999999999999" customHeight="1" x14ac:dyDescent="0.4">
      <c r="A7" s="27" t="str" cm="1">
        <f t="array" ref="A7:A18">Despesas</f>
        <v>Alimentação</v>
      </c>
      <c r="B7" s="48">
        <f>SUMIFS(Tabela1[Valor],Tabela1[Mês],'Despesas Gerais'!B$2,Tabela1[Categoria],'Despesas Gerais'!$A7)</f>
        <v>0</v>
      </c>
      <c r="C7" s="48">
        <f>SUMIFS(Tabela1[Valor],Tabela1[Mês],'Despesas Gerais'!C$2,Tabela1[Categoria],'Despesas Gerais'!$A7)</f>
        <v>0</v>
      </c>
      <c r="D7" s="48">
        <f>SUMIFS(Tabela1[Valor],Tabela1[Mês],'Despesas Gerais'!D$2,Tabela1[Categoria],'Despesas Gerais'!$A7)</f>
        <v>0</v>
      </c>
      <c r="E7" s="48">
        <f>SUMIFS(Tabela1[Valor],Tabela1[Mês],'Despesas Gerais'!E$2,Tabela1[Categoria],'Despesas Gerais'!$A7)</f>
        <v>0</v>
      </c>
      <c r="F7" s="48">
        <f>SUMIFS(Tabela1[Valor],Tabela1[Mês],'Despesas Gerais'!F$2,Tabela1[Categoria],'Despesas Gerais'!$A7)</f>
        <v>0</v>
      </c>
      <c r="G7" s="48">
        <f>SUMIFS(Tabela1[Valor],Tabela1[Mês],'Despesas Gerais'!G$2,Tabela1[Categoria],'Despesas Gerais'!$A7)</f>
        <v>0</v>
      </c>
      <c r="H7" s="48">
        <f>SUMIFS(Tabela1[Valor],Tabela1[Mês],'Despesas Gerais'!H$2,Tabela1[Categoria],'Despesas Gerais'!$A7)</f>
        <v>0</v>
      </c>
      <c r="I7" s="48">
        <f>SUMIFS(Tabela1[Valor],Tabela1[Mês],'Despesas Gerais'!I$2,Tabela1[Categoria],'Despesas Gerais'!$A7)</f>
        <v>0</v>
      </c>
      <c r="J7" s="48">
        <f>SUMIFS(Tabela1[Valor],Tabela1[Mês],'Despesas Gerais'!J$2,Tabela1[Categoria],'Despesas Gerais'!$A7)</f>
        <v>0</v>
      </c>
      <c r="K7" s="48">
        <f>SUMIFS(Tabela1[Valor],Tabela1[Mês],'Despesas Gerais'!K$2,Tabela1[Categoria],'Despesas Gerais'!$A7)</f>
        <v>0</v>
      </c>
      <c r="L7" s="48">
        <f>SUMIFS(Tabela1[Valor],Tabela1[Mês],'Despesas Gerais'!L$2,Tabela1[Categoria],'Despesas Gerais'!$A7)</f>
        <v>0</v>
      </c>
      <c r="M7" s="48">
        <f>SUMIFS(Tabela1[Valor],Tabela1[Mês],'Despesas Gerais'!M$2,Tabela1[Categoria],'Despesas Gerais'!$A7)</f>
        <v>0</v>
      </c>
    </row>
    <row r="8" spans="1:13" ht="17.399999999999999" customHeight="1" x14ac:dyDescent="0.4">
      <c r="A8" s="27" t="str">
        <v>Transp./ Carro</v>
      </c>
      <c r="B8" s="48">
        <f>SUMIFS(Tabela1[Valor],Tabela1[Mês],'Despesas Gerais'!B$2,Tabela1[Categoria],'Despesas Gerais'!$A8)</f>
        <v>0</v>
      </c>
      <c r="C8" s="48">
        <f>SUMIFS(Tabela1[Valor],Tabela1[Mês],'Despesas Gerais'!C$2,Tabela1[Categoria],'Despesas Gerais'!$A8)</f>
        <v>0</v>
      </c>
      <c r="D8" s="48">
        <f>SUMIFS(Tabela1[Valor],Tabela1[Mês],'Despesas Gerais'!D$2,Tabela1[Categoria],'Despesas Gerais'!$A8)</f>
        <v>0</v>
      </c>
      <c r="E8" s="48">
        <f>SUMIFS(Tabela1[Valor],Tabela1[Mês],'Despesas Gerais'!E$2,Tabela1[Categoria],'Despesas Gerais'!$A8)</f>
        <v>0</v>
      </c>
      <c r="F8" s="48">
        <f>SUMIFS(Tabela1[Valor],Tabela1[Mês],'Despesas Gerais'!F$2,Tabela1[Categoria],'Despesas Gerais'!$A8)</f>
        <v>0</v>
      </c>
      <c r="G8" s="48">
        <f>SUMIFS(Tabela1[Valor],Tabela1[Mês],'Despesas Gerais'!G$2,Tabela1[Categoria],'Despesas Gerais'!$A8)</f>
        <v>0</v>
      </c>
      <c r="H8" s="48">
        <f>SUMIFS(Tabela1[Valor],Tabela1[Mês],'Despesas Gerais'!H$2,Tabela1[Categoria],'Despesas Gerais'!$A8)</f>
        <v>0</v>
      </c>
      <c r="I8" s="48">
        <f>SUMIFS(Tabela1[Valor],Tabela1[Mês],'Despesas Gerais'!I$2,Tabela1[Categoria],'Despesas Gerais'!$A8)</f>
        <v>0</v>
      </c>
      <c r="J8" s="48">
        <f>SUMIFS(Tabela1[Valor],Tabela1[Mês],'Despesas Gerais'!J$2,Tabela1[Categoria],'Despesas Gerais'!$A8)</f>
        <v>0</v>
      </c>
      <c r="K8" s="48">
        <f>SUMIFS(Tabela1[Valor],Tabela1[Mês],'Despesas Gerais'!K$2,Tabela1[Categoria],'Despesas Gerais'!$A8)</f>
        <v>0</v>
      </c>
      <c r="L8" s="48">
        <f>SUMIFS(Tabela1[Valor],Tabela1[Mês],'Despesas Gerais'!L$2,Tabela1[Categoria],'Despesas Gerais'!$A8)</f>
        <v>0</v>
      </c>
      <c r="M8" s="48">
        <f>SUMIFS(Tabela1[Valor],Tabela1[Mês],'Despesas Gerais'!M$2,Tabela1[Categoria],'Despesas Gerais'!$A8)</f>
        <v>0</v>
      </c>
    </row>
    <row r="9" spans="1:13" ht="17.399999999999999" customHeight="1" x14ac:dyDescent="0.4">
      <c r="A9" s="27" t="str">
        <v>Condomínio</v>
      </c>
      <c r="B9" s="48">
        <f>SUMIFS(Tabela1[Valor],Tabela1[Mês],'Despesas Gerais'!B$2,Tabela1[Categoria],'Despesas Gerais'!$A9)</f>
        <v>0</v>
      </c>
      <c r="C9" s="48">
        <f>SUMIFS(Tabela1[Valor],Tabela1[Mês],'Despesas Gerais'!C$2,Tabela1[Categoria],'Despesas Gerais'!$A9)</f>
        <v>0</v>
      </c>
      <c r="D9" s="48">
        <f>SUMIFS(Tabela1[Valor],Tabela1[Mês],'Despesas Gerais'!D$2,Tabela1[Categoria],'Despesas Gerais'!$A9)</f>
        <v>0</v>
      </c>
      <c r="E9" s="48">
        <f>SUMIFS(Tabela1[Valor],Tabela1[Mês],'Despesas Gerais'!E$2,Tabela1[Categoria],'Despesas Gerais'!$A9)</f>
        <v>0</v>
      </c>
      <c r="F9" s="48">
        <f>SUMIFS(Tabela1[Valor],Tabela1[Mês],'Despesas Gerais'!F$2,Tabela1[Categoria],'Despesas Gerais'!$A9)</f>
        <v>0</v>
      </c>
      <c r="G9" s="48">
        <f>SUMIFS(Tabela1[Valor],Tabela1[Mês],'Despesas Gerais'!G$2,Tabela1[Categoria],'Despesas Gerais'!$A9)</f>
        <v>0</v>
      </c>
      <c r="H9" s="48">
        <f>SUMIFS(Tabela1[Valor],Tabela1[Mês],'Despesas Gerais'!H$2,Tabela1[Categoria],'Despesas Gerais'!$A9)</f>
        <v>0</v>
      </c>
      <c r="I9" s="48">
        <f>SUMIFS(Tabela1[Valor],Tabela1[Mês],'Despesas Gerais'!I$2,Tabela1[Categoria],'Despesas Gerais'!$A9)</f>
        <v>0</v>
      </c>
      <c r="J9" s="48">
        <f>SUMIFS(Tabela1[Valor],Tabela1[Mês],'Despesas Gerais'!J$2,Tabela1[Categoria],'Despesas Gerais'!$A9)</f>
        <v>0</v>
      </c>
      <c r="K9" s="48">
        <f>SUMIFS(Tabela1[Valor],Tabela1[Mês],'Despesas Gerais'!K$2,Tabela1[Categoria],'Despesas Gerais'!$A9)</f>
        <v>0</v>
      </c>
      <c r="L9" s="48">
        <f>SUMIFS(Tabela1[Valor],Tabela1[Mês],'Despesas Gerais'!L$2,Tabela1[Categoria],'Despesas Gerais'!$A9)</f>
        <v>0</v>
      </c>
      <c r="M9" s="48">
        <f>SUMIFS(Tabela1[Valor],Tabela1[Mês],'Despesas Gerais'!M$2,Tabela1[Categoria],'Despesas Gerais'!$A9)</f>
        <v>0</v>
      </c>
    </row>
    <row r="10" spans="1:13" ht="17.399999999999999" customHeight="1" x14ac:dyDescent="0.4">
      <c r="A10" s="27" t="str">
        <v>Curso</v>
      </c>
      <c r="B10" s="48">
        <f>SUMIFS(Tabela1[Valor],Tabela1[Mês],'Despesas Gerais'!B$2,Tabela1[Categoria],'Despesas Gerais'!$A10)</f>
        <v>0</v>
      </c>
      <c r="C10" s="48">
        <f>SUMIFS(Tabela1[Valor],Tabela1[Mês],'Despesas Gerais'!C$2,Tabela1[Categoria],'Despesas Gerais'!$A10)</f>
        <v>0</v>
      </c>
      <c r="D10" s="48">
        <f>SUMIFS(Tabela1[Valor],Tabela1[Mês],'Despesas Gerais'!D$2,Tabela1[Categoria],'Despesas Gerais'!$A10)</f>
        <v>0</v>
      </c>
      <c r="E10" s="48">
        <f>SUMIFS(Tabela1[Valor],Tabela1[Mês],'Despesas Gerais'!E$2,Tabela1[Categoria],'Despesas Gerais'!$A10)</f>
        <v>0</v>
      </c>
      <c r="F10" s="48">
        <f>SUMIFS(Tabela1[Valor],Tabela1[Mês],'Despesas Gerais'!F$2,Tabela1[Categoria],'Despesas Gerais'!$A10)</f>
        <v>0</v>
      </c>
      <c r="G10" s="48">
        <f>SUMIFS(Tabela1[Valor],Tabela1[Mês],'Despesas Gerais'!G$2,Tabela1[Categoria],'Despesas Gerais'!$A10)</f>
        <v>0</v>
      </c>
      <c r="H10" s="48">
        <f>SUMIFS(Tabela1[Valor],Tabela1[Mês],'Despesas Gerais'!H$2,Tabela1[Categoria],'Despesas Gerais'!$A10)</f>
        <v>0</v>
      </c>
      <c r="I10" s="48">
        <f>SUMIFS(Tabela1[Valor],Tabela1[Mês],'Despesas Gerais'!I$2,Tabela1[Categoria],'Despesas Gerais'!$A10)</f>
        <v>0</v>
      </c>
      <c r="J10" s="48">
        <f>SUMIFS(Tabela1[Valor],Tabela1[Mês],'Despesas Gerais'!J$2,Tabela1[Categoria],'Despesas Gerais'!$A10)</f>
        <v>0</v>
      </c>
      <c r="K10" s="48">
        <f>SUMIFS(Tabela1[Valor],Tabela1[Mês],'Despesas Gerais'!K$2,Tabela1[Categoria],'Despesas Gerais'!$A10)</f>
        <v>0</v>
      </c>
      <c r="L10" s="48">
        <f>SUMIFS(Tabela1[Valor],Tabela1[Mês],'Despesas Gerais'!L$2,Tabela1[Categoria],'Despesas Gerais'!$A10)</f>
        <v>0</v>
      </c>
      <c r="M10" s="48">
        <f>SUMIFS(Tabela1[Valor],Tabela1[Mês],'Despesas Gerais'!M$2,Tabela1[Categoria],'Despesas Gerais'!$A10)</f>
        <v>0</v>
      </c>
    </row>
    <row r="11" spans="1:13" ht="17.399999999999999" customHeight="1" x14ac:dyDescent="0.4">
      <c r="A11" s="27" t="str">
        <v>Eletrônicos</v>
      </c>
      <c r="B11" s="48">
        <f>SUMIFS(Tabela1[Valor],Tabela1[Mês],'Despesas Gerais'!B$2,Tabela1[Categoria],'Despesas Gerais'!$A11)</f>
        <v>0</v>
      </c>
      <c r="C11" s="48">
        <f>SUMIFS(Tabela1[Valor],Tabela1[Mês],'Despesas Gerais'!C$2,Tabela1[Categoria],'Despesas Gerais'!$A11)</f>
        <v>0</v>
      </c>
      <c r="D11" s="48">
        <f>SUMIFS(Tabela1[Valor],Tabela1[Mês],'Despesas Gerais'!D$2,Tabela1[Categoria],'Despesas Gerais'!$A11)</f>
        <v>0</v>
      </c>
      <c r="E11" s="48">
        <f>SUMIFS(Tabela1[Valor],Tabela1[Mês],'Despesas Gerais'!E$2,Tabela1[Categoria],'Despesas Gerais'!$A11)</f>
        <v>0</v>
      </c>
      <c r="F11" s="48">
        <f>SUMIFS(Tabela1[Valor],Tabela1[Mês],'Despesas Gerais'!F$2,Tabela1[Categoria],'Despesas Gerais'!$A11)</f>
        <v>0</v>
      </c>
      <c r="G11" s="48">
        <f>SUMIFS(Tabela1[Valor],Tabela1[Mês],'Despesas Gerais'!G$2,Tabela1[Categoria],'Despesas Gerais'!$A11)</f>
        <v>0</v>
      </c>
      <c r="H11" s="48">
        <f>SUMIFS(Tabela1[Valor],Tabela1[Mês],'Despesas Gerais'!H$2,Tabela1[Categoria],'Despesas Gerais'!$A11)</f>
        <v>0</v>
      </c>
      <c r="I11" s="48">
        <f>SUMIFS(Tabela1[Valor],Tabela1[Mês],'Despesas Gerais'!I$2,Tabela1[Categoria],'Despesas Gerais'!$A11)</f>
        <v>0</v>
      </c>
      <c r="J11" s="48">
        <f>SUMIFS(Tabela1[Valor],Tabela1[Mês],'Despesas Gerais'!J$2,Tabela1[Categoria],'Despesas Gerais'!$A11)</f>
        <v>0</v>
      </c>
      <c r="K11" s="48">
        <f>SUMIFS(Tabela1[Valor],Tabela1[Mês],'Despesas Gerais'!K$2,Tabela1[Categoria],'Despesas Gerais'!$A11)</f>
        <v>0</v>
      </c>
      <c r="L11" s="48">
        <f>SUMIFS(Tabela1[Valor],Tabela1[Mês],'Despesas Gerais'!L$2,Tabela1[Categoria],'Despesas Gerais'!$A11)</f>
        <v>0</v>
      </c>
      <c r="M11" s="48">
        <f>SUMIFS(Tabela1[Valor],Tabela1[Mês],'Despesas Gerais'!M$2,Tabela1[Categoria],'Despesas Gerais'!$A11)</f>
        <v>0</v>
      </c>
    </row>
    <row r="12" spans="1:13" ht="17.399999999999999" customHeight="1" x14ac:dyDescent="0.4">
      <c r="A12" s="27" t="str">
        <v>Farm. e Saúde.</v>
      </c>
      <c r="B12" s="48">
        <f>SUMIFS(Tabela1[Valor],Tabela1[Mês],'Despesas Gerais'!B$2,Tabela1[Categoria],'Despesas Gerais'!$A12)</f>
        <v>0</v>
      </c>
      <c r="C12" s="48">
        <f>SUMIFS(Tabela1[Valor],Tabela1[Mês],'Despesas Gerais'!C$2,Tabela1[Categoria],'Despesas Gerais'!$A12)</f>
        <v>0</v>
      </c>
      <c r="D12" s="48">
        <f>SUMIFS(Tabela1[Valor],Tabela1[Mês],'Despesas Gerais'!D$2,Tabela1[Categoria],'Despesas Gerais'!$A12)</f>
        <v>0</v>
      </c>
      <c r="E12" s="48">
        <f>SUMIFS(Tabela1[Valor],Tabela1[Mês],'Despesas Gerais'!E$2,Tabela1[Categoria],'Despesas Gerais'!$A12)</f>
        <v>0</v>
      </c>
      <c r="F12" s="48">
        <f>SUMIFS(Tabela1[Valor],Tabela1[Mês],'Despesas Gerais'!F$2,Tabela1[Categoria],'Despesas Gerais'!$A12)</f>
        <v>0</v>
      </c>
      <c r="G12" s="48">
        <f>SUMIFS(Tabela1[Valor],Tabela1[Mês],'Despesas Gerais'!G$2,Tabela1[Categoria],'Despesas Gerais'!$A12)</f>
        <v>0</v>
      </c>
      <c r="H12" s="48">
        <f>SUMIFS(Tabela1[Valor],Tabela1[Mês],'Despesas Gerais'!H$2,Tabela1[Categoria],'Despesas Gerais'!$A12)</f>
        <v>0</v>
      </c>
      <c r="I12" s="48">
        <f>SUMIFS(Tabela1[Valor],Tabela1[Mês],'Despesas Gerais'!I$2,Tabela1[Categoria],'Despesas Gerais'!$A12)</f>
        <v>0</v>
      </c>
      <c r="J12" s="48">
        <f>SUMIFS(Tabela1[Valor],Tabela1[Mês],'Despesas Gerais'!J$2,Tabela1[Categoria],'Despesas Gerais'!$A12)</f>
        <v>0</v>
      </c>
      <c r="K12" s="48">
        <f>SUMIFS(Tabela1[Valor],Tabela1[Mês],'Despesas Gerais'!K$2,Tabela1[Categoria],'Despesas Gerais'!$A12)</f>
        <v>0</v>
      </c>
      <c r="L12" s="48">
        <f>SUMIFS(Tabela1[Valor],Tabela1[Mês],'Despesas Gerais'!L$2,Tabela1[Categoria],'Despesas Gerais'!$A12)</f>
        <v>0</v>
      </c>
      <c r="M12" s="48">
        <f>SUMIFS(Tabela1[Valor],Tabela1[Mês],'Despesas Gerais'!M$2,Tabela1[Categoria],'Despesas Gerais'!$A12)</f>
        <v>0</v>
      </c>
    </row>
    <row r="13" spans="1:13" ht="17.399999999999999" customHeight="1" x14ac:dyDescent="0.4">
      <c r="A13" s="27" t="str">
        <v>G. Residencial</v>
      </c>
      <c r="B13" s="48">
        <f>SUMIFS(Tabela1[Valor],Tabela1[Mês],'Despesas Gerais'!B$2,Tabela1[Categoria],'Despesas Gerais'!$A13)</f>
        <v>0</v>
      </c>
      <c r="C13" s="48">
        <f>SUMIFS(Tabela1[Valor],Tabela1[Mês],'Despesas Gerais'!C$2,Tabela1[Categoria],'Despesas Gerais'!$A13)</f>
        <v>0</v>
      </c>
      <c r="D13" s="48">
        <f>SUMIFS(Tabela1[Valor],Tabela1[Mês],'Despesas Gerais'!D$2,Tabela1[Categoria],'Despesas Gerais'!$A13)</f>
        <v>0</v>
      </c>
      <c r="E13" s="48">
        <f>SUMIFS(Tabela1[Valor],Tabela1[Mês],'Despesas Gerais'!E$2,Tabela1[Categoria],'Despesas Gerais'!$A13)</f>
        <v>0</v>
      </c>
      <c r="F13" s="48">
        <f>SUMIFS(Tabela1[Valor],Tabela1[Mês],'Despesas Gerais'!F$2,Tabela1[Categoria],'Despesas Gerais'!$A13)</f>
        <v>0</v>
      </c>
      <c r="G13" s="48">
        <f>SUMIFS(Tabela1[Valor],Tabela1[Mês],'Despesas Gerais'!G$2,Tabela1[Categoria],'Despesas Gerais'!$A13)</f>
        <v>0</v>
      </c>
      <c r="H13" s="48">
        <f>SUMIFS(Tabela1[Valor],Tabela1[Mês],'Despesas Gerais'!H$2,Tabela1[Categoria],'Despesas Gerais'!$A13)</f>
        <v>0</v>
      </c>
      <c r="I13" s="48">
        <f>SUMIFS(Tabela1[Valor],Tabela1[Mês],'Despesas Gerais'!I$2,Tabela1[Categoria],'Despesas Gerais'!$A13)</f>
        <v>0</v>
      </c>
      <c r="J13" s="48">
        <f>SUMIFS(Tabela1[Valor],Tabela1[Mês],'Despesas Gerais'!J$2,Tabela1[Categoria],'Despesas Gerais'!$A13)</f>
        <v>0</v>
      </c>
      <c r="K13" s="48">
        <f>SUMIFS(Tabela1[Valor],Tabela1[Mês],'Despesas Gerais'!K$2,Tabela1[Categoria],'Despesas Gerais'!$A13)</f>
        <v>0</v>
      </c>
      <c r="L13" s="48">
        <f>SUMIFS(Tabela1[Valor],Tabela1[Mês],'Despesas Gerais'!L$2,Tabela1[Categoria],'Despesas Gerais'!$A13)</f>
        <v>0</v>
      </c>
      <c r="M13" s="48">
        <f>SUMIFS(Tabela1[Valor],Tabela1[Mês],'Despesas Gerais'!M$2,Tabela1[Categoria],'Despesas Gerais'!$A13)</f>
        <v>0</v>
      </c>
    </row>
    <row r="14" spans="1:13" ht="17.399999999999999" customHeight="1" x14ac:dyDescent="0.4">
      <c r="A14" s="27" t="str">
        <v>Gasolina</v>
      </c>
      <c r="B14" s="48">
        <f>SUMIFS(Tabela1[Valor],Tabela1[Mês],'Despesas Gerais'!B$2,Tabela1[Categoria],'Despesas Gerais'!$A14)</f>
        <v>0</v>
      </c>
      <c r="C14" s="48">
        <f>SUMIFS(Tabela1[Valor],Tabela1[Mês],'Despesas Gerais'!C$2,Tabela1[Categoria],'Despesas Gerais'!$A14)</f>
        <v>0</v>
      </c>
      <c r="D14" s="48">
        <f>SUMIFS(Tabela1[Valor],Tabela1[Mês],'Despesas Gerais'!D$2,Tabela1[Categoria],'Despesas Gerais'!$A14)</f>
        <v>0</v>
      </c>
      <c r="E14" s="48">
        <f>SUMIFS(Tabela1[Valor],Tabela1[Mês],'Despesas Gerais'!E$2,Tabela1[Categoria],'Despesas Gerais'!$A14)</f>
        <v>0</v>
      </c>
      <c r="F14" s="48">
        <f>SUMIFS(Tabela1[Valor],Tabela1[Mês],'Despesas Gerais'!F$2,Tabela1[Categoria],'Despesas Gerais'!$A14)</f>
        <v>0</v>
      </c>
      <c r="G14" s="48">
        <f>SUMIFS(Tabela1[Valor],Tabela1[Mês],'Despesas Gerais'!G$2,Tabela1[Categoria],'Despesas Gerais'!$A14)</f>
        <v>0</v>
      </c>
      <c r="H14" s="48">
        <f>SUMIFS(Tabela1[Valor],Tabela1[Mês],'Despesas Gerais'!H$2,Tabela1[Categoria],'Despesas Gerais'!$A14)</f>
        <v>0</v>
      </c>
      <c r="I14" s="48">
        <f>SUMIFS(Tabela1[Valor],Tabela1[Mês],'Despesas Gerais'!I$2,Tabela1[Categoria],'Despesas Gerais'!$A14)</f>
        <v>0</v>
      </c>
      <c r="J14" s="48">
        <f>SUMIFS(Tabela1[Valor],Tabela1[Mês],'Despesas Gerais'!J$2,Tabela1[Categoria],'Despesas Gerais'!$A14)</f>
        <v>0</v>
      </c>
      <c r="K14" s="48">
        <f>SUMIFS(Tabela1[Valor],Tabela1[Mês],'Despesas Gerais'!K$2,Tabela1[Categoria],'Despesas Gerais'!$A14)</f>
        <v>0</v>
      </c>
      <c r="L14" s="48">
        <f>SUMIFS(Tabela1[Valor],Tabela1[Mês],'Despesas Gerais'!L$2,Tabela1[Categoria],'Despesas Gerais'!$A14)</f>
        <v>0</v>
      </c>
      <c r="M14" s="48">
        <f>SUMIFS(Tabela1[Valor],Tabela1[Mês],'Despesas Gerais'!M$2,Tabela1[Categoria],'Despesas Gerais'!$A14)</f>
        <v>0</v>
      </c>
    </row>
    <row r="15" spans="1:13" ht="17.399999999999999" customHeight="1" x14ac:dyDescent="0.4">
      <c r="A15" s="27" t="str">
        <v>Jogos/ Livros</v>
      </c>
      <c r="B15" s="48">
        <f>SUMIFS(Tabela1[Valor],Tabela1[Mês],'Despesas Gerais'!B$2,Tabela1[Categoria],'Despesas Gerais'!$A15)</f>
        <v>0</v>
      </c>
      <c r="C15" s="48">
        <f>SUMIFS(Tabela1[Valor],Tabela1[Mês],'Despesas Gerais'!C$2,Tabela1[Categoria],'Despesas Gerais'!$A15)</f>
        <v>0</v>
      </c>
      <c r="D15" s="48">
        <f>SUMIFS(Tabela1[Valor],Tabela1[Mês],'Despesas Gerais'!D$2,Tabela1[Categoria],'Despesas Gerais'!$A15)</f>
        <v>0</v>
      </c>
      <c r="E15" s="48">
        <f>SUMIFS(Tabela1[Valor],Tabela1[Mês],'Despesas Gerais'!E$2,Tabela1[Categoria],'Despesas Gerais'!$A15)</f>
        <v>0</v>
      </c>
      <c r="F15" s="48">
        <f>SUMIFS(Tabela1[Valor],Tabela1[Mês],'Despesas Gerais'!F$2,Tabela1[Categoria],'Despesas Gerais'!$A15)</f>
        <v>0</v>
      </c>
      <c r="G15" s="48">
        <f>SUMIFS(Tabela1[Valor],Tabela1[Mês],'Despesas Gerais'!G$2,Tabela1[Categoria],'Despesas Gerais'!$A15)</f>
        <v>0</v>
      </c>
      <c r="H15" s="48">
        <f>SUMIFS(Tabela1[Valor],Tabela1[Mês],'Despesas Gerais'!H$2,Tabela1[Categoria],'Despesas Gerais'!$A15)</f>
        <v>0</v>
      </c>
      <c r="I15" s="48">
        <f>SUMIFS(Tabela1[Valor],Tabela1[Mês],'Despesas Gerais'!I$2,Tabela1[Categoria],'Despesas Gerais'!$A15)</f>
        <v>0</v>
      </c>
      <c r="J15" s="48">
        <f>SUMIFS(Tabela1[Valor],Tabela1[Mês],'Despesas Gerais'!J$2,Tabela1[Categoria],'Despesas Gerais'!$A15)</f>
        <v>0</v>
      </c>
      <c r="K15" s="48">
        <f>SUMIFS(Tabela1[Valor],Tabela1[Mês],'Despesas Gerais'!K$2,Tabela1[Categoria],'Despesas Gerais'!$A15)</f>
        <v>0</v>
      </c>
      <c r="L15" s="48">
        <f>SUMIFS(Tabela1[Valor],Tabela1[Mês],'Despesas Gerais'!L$2,Tabela1[Categoria],'Despesas Gerais'!$A15)</f>
        <v>0</v>
      </c>
      <c r="M15" s="48">
        <f>SUMIFS(Tabela1[Valor],Tabela1[Mês],'Despesas Gerais'!M$2,Tabela1[Categoria],'Despesas Gerais'!$A15)</f>
        <v>0</v>
      </c>
    </row>
    <row r="16" spans="1:13" ht="17.399999999999999" customHeight="1" x14ac:dyDescent="0.4">
      <c r="A16" s="27" t="str">
        <v>Rolê/ Entret.</v>
      </c>
      <c r="B16" s="48">
        <f>SUMIFS(Tabela1[Valor],Tabela1[Mês],'Despesas Gerais'!B$2,Tabela1[Categoria],'Despesas Gerais'!$A16)</f>
        <v>0</v>
      </c>
      <c r="C16" s="48">
        <f>SUMIFS(Tabela1[Valor],Tabela1[Mês],'Despesas Gerais'!C$2,Tabela1[Categoria],'Despesas Gerais'!$A16)</f>
        <v>0</v>
      </c>
      <c r="D16" s="48">
        <f>SUMIFS(Tabela1[Valor],Tabela1[Mês],'Despesas Gerais'!D$2,Tabela1[Categoria],'Despesas Gerais'!$A16)</f>
        <v>0</v>
      </c>
      <c r="E16" s="48">
        <f>SUMIFS(Tabela1[Valor],Tabela1[Mês],'Despesas Gerais'!E$2,Tabela1[Categoria],'Despesas Gerais'!$A16)</f>
        <v>0</v>
      </c>
      <c r="F16" s="48">
        <f>SUMIFS(Tabela1[Valor],Tabela1[Mês],'Despesas Gerais'!F$2,Tabela1[Categoria],'Despesas Gerais'!$A16)</f>
        <v>0</v>
      </c>
      <c r="G16" s="48">
        <f>SUMIFS(Tabela1[Valor],Tabela1[Mês],'Despesas Gerais'!G$2,Tabela1[Categoria],'Despesas Gerais'!$A16)</f>
        <v>0</v>
      </c>
      <c r="H16" s="48">
        <f>SUMIFS(Tabela1[Valor],Tabela1[Mês],'Despesas Gerais'!H$2,Tabela1[Categoria],'Despesas Gerais'!$A16)</f>
        <v>0</v>
      </c>
      <c r="I16" s="48">
        <f>SUMIFS(Tabela1[Valor],Tabela1[Mês],'Despesas Gerais'!I$2,Tabela1[Categoria],'Despesas Gerais'!$A16)</f>
        <v>0</v>
      </c>
      <c r="J16" s="48">
        <f>SUMIFS(Tabela1[Valor],Tabela1[Mês],'Despesas Gerais'!J$2,Tabela1[Categoria],'Despesas Gerais'!$A16)</f>
        <v>0</v>
      </c>
      <c r="K16" s="48">
        <f>SUMIFS(Tabela1[Valor],Tabela1[Mês],'Despesas Gerais'!K$2,Tabela1[Categoria],'Despesas Gerais'!$A16)</f>
        <v>0</v>
      </c>
      <c r="L16" s="48">
        <f>SUMIFS(Tabela1[Valor],Tabela1[Mês],'Despesas Gerais'!L$2,Tabela1[Categoria],'Despesas Gerais'!$A16)</f>
        <v>0</v>
      </c>
      <c r="M16" s="48">
        <f>SUMIFS(Tabela1[Valor],Tabela1[Mês],'Despesas Gerais'!M$2,Tabela1[Categoria],'Despesas Gerais'!$A16)</f>
        <v>0</v>
      </c>
    </row>
    <row r="17" spans="1:14" ht="17.399999999999999" customHeight="1" x14ac:dyDescent="0.4">
      <c r="A17" s="27" t="str">
        <v>Roupas</v>
      </c>
      <c r="B17" s="48">
        <f>SUMIFS(Tabela1[Valor],Tabela1[Mês],'Despesas Gerais'!B$2,Tabela1[Categoria],'Despesas Gerais'!$A17)</f>
        <v>0</v>
      </c>
      <c r="C17" s="48">
        <f>SUMIFS(Tabela1[Valor],Tabela1[Mês],'Despesas Gerais'!C$2,Tabela1[Categoria],'Despesas Gerais'!$A17)</f>
        <v>0</v>
      </c>
      <c r="D17" s="48">
        <f>SUMIFS(Tabela1[Valor],Tabela1[Mês],'Despesas Gerais'!D$2,Tabela1[Categoria],'Despesas Gerais'!$A17)</f>
        <v>0</v>
      </c>
      <c r="E17" s="48">
        <f>SUMIFS(Tabela1[Valor],Tabela1[Mês],'Despesas Gerais'!E$2,Tabela1[Categoria],'Despesas Gerais'!$A17)</f>
        <v>0</v>
      </c>
      <c r="F17" s="48">
        <f>SUMIFS(Tabela1[Valor],Tabela1[Mês],'Despesas Gerais'!F$2,Tabela1[Categoria],'Despesas Gerais'!$A17)</f>
        <v>0</v>
      </c>
      <c r="G17" s="48">
        <f>SUMIFS(Tabela1[Valor],Tabela1[Mês],'Despesas Gerais'!G$2,Tabela1[Categoria],'Despesas Gerais'!$A17)</f>
        <v>0</v>
      </c>
      <c r="H17" s="48">
        <f>SUMIFS(Tabela1[Valor],Tabela1[Mês],'Despesas Gerais'!H$2,Tabela1[Categoria],'Despesas Gerais'!$A17)</f>
        <v>0</v>
      </c>
      <c r="I17" s="48">
        <f>SUMIFS(Tabela1[Valor],Tabela1[Mês],'Despesas Gerais'!I$2,Tabela1[Categoria],'Despesas Gerais'!$A17)</f>
        <v>0</v>
      </c>
      <c r="J17" s="48">
        <f>SUMIFS(Tabela1[Valor],Tabela1[Mês],'Despesas Gerais'!J$2,Tabela1[Categoria],'Despesas Gerais'!$A17)</f>
        <v>0</v>
      </c>
      <c r="K17" s="48">
        <f>SUMIFS(Tabela1[Valor],Tabela1[Mês],'Despesas Gerais'!K$2,Tabela1[Categoria],'Despesas Gerais'!$A17)</f>
        <v>0</v>
      </c>
      <c r="L17" s="48">
        <f>SUMIFS(Tabela1[Valor],Tabela1[Mês],'Despesas Gerais'!L$2,Tabela1[Categoria],'Despesas Gerais'!$A17)</f>
        <v>0</v>
      </c>
      <c r="M17" s="48">
        <f>SUMIFS(Tabela1[Valor],Tabela1[Mês],'Despesas Gerais'!M$2,Tabela1[Categoria],'Despesas Gerais'!$A17)</f>
        <v>0</v>
      </c>
    </row>
    <row r="18" spans="1:14" ht="17.399999999999999" customHeight="1" x14ac:dyDescent="0.4">
      <c r="A18" s="27" t="str">
        <v>G. Gerais</v>
      </c>
      <c r="B18" s="48">
        <f>SUMIFS(Tabela1[Valor],Tabela1[Mês],'Despesas Gerais'!B$2,Tabela1[Categoria],'Despesas Gerais'!$A18)</f>
        <v>0</v>
      </c>
      <c r="C18" s="48">
        <f>SUMIFS(Tabela1[Valor],Tabela1[Mês],'Despesas Gerais'!C$2,Tabela1[Categoria],'Despesas Gerais'!$A18)</f>
        <v>0</v>
      </c>
      <c r="D18" s="48">
        <f>SUMIFS(Tabela1[Valor],Tabela1[Mês],'Despesas Gerais'!D$2,Tabela1[Categoria],'Despesas Gerais'!$A18)</f>
        <v>0</v>
      </c>
      <c r="E18" s="48">
        <f>SUMIFS(Tabela1[Valor],Tabela1[Mês],'Despesas Gerais'!E$2,Tabela1[Categoria],'Despesas Gerais'!$A18)</f>
        <v>0</v>
      </c>
      <c r="F18" s="48">
        <f>SUMIFS(Tabela1[Valor],Tabela1[Mês],'Despesas Gerais'!F$2,Tabela1[Categoria],'Despesas Gerais'!$A18)</f>
        <v>0</v>
      </c>
      <c r="G18" s="48">
        <f>SUMIFS(Tabela1[Valor],Tabela1[Mês],'Despesas Gerais'!G$2,Tabela1[Categoria],'Despesas Gerais'!$A18)</f>
        <v>0</v>
      </c>
      <c r="H18" s="48">
        <f>SUMIFS(Tabela1[Valor],Tabela1[Mês],'Despesas Gerais'!H$2,Tabela1[Categoria],'Despesas Gerais'!$A18)</f>
        <v>0</v>
      </c>
      <c r="I18" s="48">
        <f>SUMIFS(Tabela1[Valor],Tabela1[Mês],'Despesas Gerais'!I$2,Tabela1[Categoria],'Despesas Gerais'!$A18)</f>
        <v>0</v>
      </c>
      <c r="J18" s="48">
        <f>SUMIFS(Tabela1[Valor],Tabela1[Mês],'Despesas Gerais'!J$2,Tabela1[Categoria],'Despesas Gerais'!$A18)</f>
        <v>0</v>
      </c>
      <c r="K18" s="48">
        <f>SUMIFS(Tabela1[Valor],Tabela1[Mês],'Despesas Gerais'!K$2,Tabela1[Categoria],'Despesas Gerais'!$A18)</f>
        <v>0</v>
      </c>
      <c r="L18" s="48">
        <f>SUMIFS(Tabela1[Valor],Tabela1[Mês],'Despesas Gerais'!L$2,Tabela1[Categoria],'Despesas Gerais'!$A18)</f>
        <v>0</v>
      </c>
      <c r="M18" s="48">
        <f>SUMIFS(Tabela1[Valor],Tabela1[Mês],'Despesas Gerais'!M$2,Tabela1[Categoria],'Despesas Gerais'!$A18)</f>
        <v>0</v>
      </c>
    </row>
    <row r="19" spans="1:14" ht="17.399999999999999" customHeight="1" x14ac:dyDescent="0.4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1:14" s="39" customFormat="1" ht="17.399999999999999" customHeight="1" x14ac:dyDescent="0.4">
      <c r="A20" s="50" t="s">
        <v>2</v>
      </c>
      <c r="B20" s="41">
        <f t="shared" ref="B20:M20" si="1">SUM(B7:B18)</f>
        <v>0</v>
      </c>
      <c r="C20" s="41">
        <f t="shared" si="1"/>
        <v>0</v>
      </c>
      <c r="D20" s="41">
        <f t="shared" si="1"/>
        <v>0</v>
      </c>
      <c r="E20" s="41">
        <f t="shared" si="1"/>
        <v>0</v>
      </c>
      <c r="F20" s="41">
        <f t="shared" si="1"/>
        <v>0</v>
      </c>
      <c r="G20" s="41">
        <f t="shared" si="1"/>
        <v>0</v>
      </c>
      <c r="H20" s="41">
        <f t="shared" si="1"/>
        <v>0</v>
      </c>
      <c r="I20" s="41">
        <f t="shared" si="1"/>
        <v>0</v>
      </c>
      <c r="J20" s="41">
        <f t="shared" si="1"/>
        <v>0</v>
      </c>
      <c r="K20" s="41">
        <f t="shared" si="1"/>
        <v>0</v>
      </c>
      <c r="L20" s="41">
        <f t="shared" si="1"/>
        <v>0</v>
      </c>
      <c r="M20" s="41">
        <f t="shared" si="1"/>
        <v>0</v>
      </c>
      <c r="N20" s="42"/>
    </row>
    <row r="21" spans="1:14" ht="17.399999999999999" customHeight="1" x14ac:dyDescent="0.4"/>
    <row r="22" spans="1:14" ht="17.399999999999999" customHeight="1" x14ac:dyDescent="0.4"/>
    <row r="23" spans="1:14" ht="17.399999999999999" customHeight="1" x14ac:dyDescent="0.4"/>
    <row r="24" spans="1:14" ht="17.399999999999999" customHeight="1" x14ac:dyDescent="0.4"/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="106" zoomScaleNormal="106" workbookViewId="0"/>
  </sheetViews>
  <sheetFormatPr defaultColWidth="9.109375" defaultRowHeight="14.4" x14ac:dyDescent="0.3"/>
  <cols>
    <col min="1" max="1" width="15" style="1" customWidth="1"/>
    <col min="2" max="2" width="5.6640625" style="1" customWidth="1"/>
    <col min="3" max="4" width="15" style="1" customWidth="1"/>
    <col min="5" max="5" width="5.6640625" style="1" customWidth="1"/>
    <col min="6" max="6" width="15" style="1" customWidth="1"/>
    <col min="7" max="7" width="5.6640625" style="1" customWidth="1"/>
    <col min="8" max="8" width="15.109375" style="1" customWidth="1"/>
    <col min="9" max="9" width="15" style="1" customWidth="1"/>
    <col min="10" max="10" width="5.6640625" style="1" customWidth="1"/>
    <col min="11" max="11" width="15" style="1" customWidth="1"/>
    <col min="12" max="12" width="15.6640625" style="1" customWidth="1"/>
    <col min="13" max="13" width="5.6640625" style="1" customWidth="1"/>
    <col min="14" max="15" width="15" style="1" customWidth="1"/>
    <col min="16" max="16" width="9.109375" style="1"/>
    <col min="17" max="17" width="0.88671875" style="1" customWidth="1"/>
    <col min="18" max="19" width="9.109375" style="1"/>
    <col min="20" max="20" width="14" style="1" customWidth="1"/>
    <col min="21" max="21" width="5.5546875" style="1" customWidth="1"/>
    <col min="22" max="16384" width="9.109375" style="1"/>
  </cols>
  <sheetData>
    <row r="1" spans="1:16" ht="15" thickBot="1" x14ac:dyDescent="0.35"/>
    <row r="2" spans="1:16" ht="16.2" x14ac:dyDescent="0.4">
      <c r="A2" s="4" t="s">
        <v>0</v>
      </c>
      <c r="B2" s="5"/>
      <c r="C2" s="13" t="s">
        <v>19</v>
      </c>
      <c r="D2" s="14" t="s">
        <v>3</v>
      </c>
      <c r="E2" s="5"/>
      <c r="F2" s="4" t="s">
        <v>1</v>
      </c>
      <c r="G2" s="5"/>
      <c r="H2" s="11" t="s">
        <v>17</v>
      </c>
      <c r="I2" s="12" t="s">
        <v>37</v>
      </c>
      <c r="J2" s="3"/>
      <c r="K2" s="98" t="s">
        <v>24</v>
      </c>
      <c r="L2" s="99"/>
      <c r="M2" s="28"/>
      <c r="N2" s="98" t="s">
        <v>7</v>
      </c>
      <c r="O2" s="99"/>
      <c r="P2" s="29"/>
    </row>
    <row r="3" spans="1:16" ht="16.2" x14ac:dyDescent="0.4">
      <c r="A3" s="6" t="str" cm="1">
        <f t="array" ref="A3:A14">Meses</f>
        <v>Janeiro</v>
      </c>
      <c r="B3" s="5"/>
      <c r="C3" s="15">
        <f>'Receita Líquida'!B18</f>
        <v>0</v>
      </c>
      <c r="D3" s="16">
        <f>SUM('Receita Líquida'!B$15:B$16)</f>
        <v>0</v>
      </c>
      <c r="E3" s="7"/>
      <c r="F3" s="21">
        <f>SUM('Despesas Gerais'!B20:B20)</f>
        <v>0</v>
      </c>
      <c r="G3" s="8"/>
      <c r="H3" s="15">
        <f>I3</f>
        <v>0</v>
      </c>
      <c r="I3" s="18">
        <f>'Despesas Gerais'!B4</f>
        <v>0</v>
      </c>
      <c r="J3" s="3"/>
      <c r="K3" s="31" t="s">
        <v>14</v>
      </c>
      <c r="L3" s="16">
        <f>SUM('Receita Líquida'!B5:M9)</f>
        <v>0</v>
      </c>
      <c r="M3" s="7"/>
      <c r="N3" s="33" t="str" cm="1">
        <f t="array" ref="N3:N14">Despesas</f>
        <v>Alimentação</v>
      </c>
      <c r="O3" s="34">
        <f>SUM('Despesas Gerais'!B7:M7)</f>
        <v>0</v>
      </c>
      <c r="P3" s="29"/>
    </row>
    <row r="4" spans="1:16" ht="16.2" x14ac:dyDescent="0.4">
      <c r="A4" s="6" t="str">
        <v>Fevereiro</v>
      </c>
      <c r="B4" s="5"/>
      <c r="C4" s="15">
        <f>'Receita Líquida'!C18</f>
        <v>0</v>
      </c>
      <c r="D4" s="16">
        <f>SUM('Receita Líquida'!C$15:C$16)</f>
        <v>0</v>
      </c>
      <c r="E4" s="7"/>
      <c r="F4" s="21">
        <f>SUM('Despesas Gerais'!C20:C20)</f>
        <v>0</v>
      </c>
      <c r="G4" s="8"/>
      <c r="H4" s="15">
        <f t="shared" ref="H4:H14" si="0">I4-I3</f>
        <v>0</v>
      </c>
      <c r="I4" s="18">
        <f>'Despesas Gerais'!C4</f>
        <v>0</v>
      </c>
      <c r="J4" s="3"/>
      <c r="K4" s="31" t="s">
        <v>10</v>
      </c>
      <c r="L4" s="16">
        <f>SUM('Receita Líquida'!B10:M14)</f>
        <v>0</v>
      </c>
      <c r="M4" s="7"/>
      <c r="N4" s="33" t="str">
        <v>Transp./ Carro</v>
      </c>
      <c r="O4" s="34">
        <f>SUM('Despesas Gerais'!B8:M8)</f>
        <v>0</v>
      </c>
      <c r="P4" s="29"/>
    </row>
    <row r="5" spans="1:16" ht="16.2" x14ac:dyDescent="0.4">
      <c r="A5" s="6" t="str">
        <v>Março</v>
      </c>
      <c r="B5" s="5"/>
      <c r="C5" s="15">
        <f>'Receita Líquida'!D18</f>
        <v>0</v>
      </c>
      <c r="D5" s="16">
        <f>SUM('Receita Líquida'!D$15:D$16)</f>
        <v>0</v>
      </c>
      <c r="E5" s="7"/>
      <c r="F5" s="21">
        <f>SUM('Despesas Gerais'!D20:D20)</f>
        <v>0</v>
      </c>
      <c r="G5" s="8"/>
      <c r="H5" s="15">
        <f t="shared" si="0"/>
        <v>0</v>
      </c>
      <c r="I5" s="18">
        <f>'Despesas Gerais'!D4</f>
        <v>0</v>
      </c>
      <c r="J5" s="3"/>
      <c r="K5" s="31" t="s">
        <v>16</v>
      </c>
      <c r="L5" s="16">
        <f>SUM('Receita Líquida'!B18:M18)</f>
        <v>0</v>
      </c>
      <c r="M5" s="7"/>
      <c r="N5" s="33" t="str">
        <v>Condomínio</v>
      </c>
      <c r="O5" s="34">
        <f>SUM('Despesas Gerais'!B9:M9)</f>
        <v>0</v>
      </c>
      <c r="P5" s="29"/>
    </row>
    <row r="6" spans="1:16" ht="16.2" x14ac:dyDescent="0.4">
      <c r="A6" s="6" t="str">
        <v>Abril</v>
      </c>
      <c r="B6" s="5"/>
      <c r="C6" s="15">
        <f>'Receita Líquida'!E18</f>
        <v>0</v>
      </c>
      <c r="D6" s="16">
        <f>SUM('Receita Líquida'!E$15:E$16)</f>
        <v>0</v>
      </c>
      <c r="E6" s="7"/>
      <c r="F6" s="21">
        <f>SUM('Despesas Gerais'!E20:E20)</f>
        <v>0</v>
      </c>
      <c r="G6" s="8"/>
      <c r="H6" s="15">
        <f t="shared" si="0"/>
        <v>0</v>
      </c>
      <c r="I6" s="18">
        <f>'Despesas Gerais'!E4</f>
        <v>0</v>
      </c>
      <c r="J6" s="3"/>
      <c r="K6" s="31" t="s">
        <v>23</v>
      </c>
      <c r="L6" s="16">
        <f>SUM('Despesas Gerais'!B7:B17,'Despesas Gerais'!C7:C17,'Despesas Gerais'!D7:D17,'Despesas Gerais'!E7:E17,'Despesas Gerais'!F7:F17,'Despesas Gerais'!G7:G17,'Despesas Gerais'!H7:H17,'Despesas Gerais'!I7:I17,'Despesas Gerais'!J7:J17,'Despesas Gerais'!K7:K17,'Despesas Gerais'!L7:L17,'Despesas Gerais'!M7:M17)</f>
        <v>0</v>
      </c>
      <c r="M6" s="7"/>
      <c r="N6" s="33" t="str">
        <v>Curso</v>
      </c>
      <c r="O6" s="34">
        <f>SUM('Despesas Gerais'!B10:M10)</f>
        <v>0</v>
      </c>
      <c r="P6" s="29"/>
    </row>
    <row r="7" spans="1:16" ht="16.2" x14ac:dyDescent="0.4">
      <c r="A7" s="6" t="str">
        <v>Maio</v>
      </c>
      <c r="B7" s="5"/>
      <c r="C7" s="15">
        <f>'Receita Líquida'!F18</f>
        <v>0</v>
      </c>
      <c r="D7" s="16">
        <f>SUM('Receita Líquida'!F$15:F$16)</f>
        <v>0</v>
      </c>
      <c r="E7" s="7"/>
      <c r="F7" s="21">
        <f>SUM('Despesas Gerais'!F20:F20)</f>
        <v>0</v>
      </c>
      <c r="G7" s="8"/>
      <c r="H7" s="15">
        <f t="shared" si="0"/>
        <v>0</v>
      </c>
      <c r="I7" s="18">
        <f>'Despesas Gerais'!F4</f>
        <v>0</v>
      </c>
      <c r="J7" s="3"/>
      <c r="K7" s="31" t="s">
        <v>18</v>
      </c>
      <c r="L7" s="16">
        <f>SUM('Despesas Gerais'!B18:B18,'Despesas Gerais'!C18:C18,'Despesas Gerais'!D18:D18,'Despesas Gerais'!E18:E18,'Despesas Gerais'!F18:F18,'Despesas Gerais'!G18:G18,'Despesas Gerais'!H18:H18,'Despesas Gerais'!I18:I18,'Despesas Gerais'!J18:J18,'Despesas Gerais'!K18:K18,'Despesas Gerais'!L18:L18,'Despesas Gerais'!M18:M18)</f>
        <v>0</v>
      </c>
      <c r="M7" s="7"/>
      <c r="N7" s="33" t="str">
        <v>Eletrônicos</v>
      </c>
      <c r="O7" s="34">
        <f>SUM('Despesas Gerais'!B11:M11)</f>
        <v>0</v>
      </c>
      <c r="P7" s="29"/>
    </row>
    <row r="8" spans="1:16" ht="16.2" x14ac:dyDescent="0.4">
      <c r="A8" s="6" t="str">
        <v>Junho</v>
      </c>
      <c r="B8" s="5"/>
      <c r="C8" s="15">
        <f>'Receita Líquida'!G18</f>
        <v>0</v>
      </c>
      <c r="D8" s="16">
        <f>SUM('Receita Líquida'!G$15:G$16)</f>
        <v>0</v>
      </c>
      <c r="E8" s="7"/>
      <c r="F8" s="21">
        <f>SUM('Despesas Gerais'!G20:G20)</f>
        <v>0</v>
      </c>
      <c r="G8" s="8"/>
      <c r="H8" s="15">
        <f t="shared" si="0"/>
        <v>0</v>
      </c>
      <c r="I8" s="18">
        <f>'Despesas Gerais'!G4</f>
        <v>0</v>
      </c>
      <c r="J8" s="3"/>
      <c r="K8" s="31" t="s">
        <v>22</v>
      </c>
      <c r="L8" s="16">
        <f>SUM(L6:L7)</f>
        <v>0</v>
      </c>
      <c r="M8" s="7"/>
      <c r="N8" s="33" t="str">
        <v>Farm. e Saúde.</v>
      </c>
      <c r="O8" s="34">
        <f>SUM('Despesas Gerais'!B12:M12)</f>
        <v>0</v>
      </c>
      <c r="P8" s="29"/>
    </row>
    <row r="9" spans="1:16" ht="16.2" x14ac:dyDescent="0.4">
      <c r="A9" s="6" t="str">
        <v>Julho</v>
      </c>
      <c r="B9" s="5"/>
      <c r="C9" s="15">
        <f>'Receita Líquida'!H18</f>
        <v>0</v>
      </c>
      <c r="D9" s="16">
        <f>SUM('Receita Líquida'!H$15:H$16)</f>
        <v>0</v>
      </c>
      <c r="E9" s="7"/>
      <c r="F9" s="21">
        <f>SUM('Despesas Gerais'!H20:H20)</f>
        <v>0</v>
      </c>
      <c r="G9" s="8"/>
      <c r="H9" s="15">
        <f t="shared" si="0"/>
        <v>0</v>
      </c>
      <c r="I9" s="18">
        <f>'Despesas Gerais'!H4</f>
        <v>0</v>
      </c>
      <c r="J9" s="3"/>
      <c r="K9" s="31" t="s">
        <v>12</v>
      </c>
      <c r="L9" s="18">
        <f>'Despesas Gerais'!M4</f>
        <v>0</v>
      </c>
      <c r="M9" s="8"/>
      <c r="N9" s="33" t="str">
        <v>G. Residencial</v>
      </c>
      <c r="O9" s="34">
        <f>SUM('Despesas Gerais'!B13:M13)</f>
        <v>0</v>
      </c>
      <c r="P9" s="29"/>
    </row>
    <row r="10" spans="1:16" ht="16.8" thickBot="1" x14ac:dyDescent="0.45">
      <c r="A10" s="6" t="str">
        <v>Agosto</v>
      </c>
      <c r="B10" s="5"/>
      <c r="C10" s="15">
        <f>'Receita Líquida'!I18</f>
        <v>0</v>
      </c>
      <c r="D10" s="16">
        <f>SUM('Receita Líquida'!I$15:I$16)</f>
        <v>0</v>
      </c>
      <c r="E10" s="7"/>
      <c r="F10" s="21">
        <f>SUM('Despesas Gerais'!I20:I20)</f>
        <v>0</v>
      </c>
      <c r="G10" s="8"/>
      <c r="H10" s="15">
        <f t="shared" si="0"/>
        <v>0</v>
      </c>
      <c r="I10" s="18">
        <f>'Despesas Gerais'!I4</f>
        <v>0</v>
      </c>
      <c r="J10" s="3"/>
      <c r="K10" s="32" t="s">
        <v>9</v>
      </c>
      <c r="L10" s="20">
        <f>'Gráfico Anual'!D15</f>
        <v>0</v>
      </c>
      <c r="M10" s="8"/>
      <c r="N10" s="33" t="str">
        <v>Gasolina</v>
      </c>
      <c r="O10" s="34">
        <f>SUM('Despesas Gerais'!B14:M14)</f>
        <v>0</v>
      </c>
      <c r="P10" s="29"/>
    </row>
    <row r="11" spans="1:16" ht="16.2" x14ac:dyDescent="0.4">
      <c r="A11" s="6" t="str">
        <v>Setembro</v>
      </c>
      <c r="B11" s="5"/>
      <c r="C11" s="15">
        <f>'Receita Líquida'!J18</f>
        <v>0</v>
      </c>
      <c r="D11" s="16">
        <f>SUM('Receita Líquida'!J$15:J$16)</f>
        <v>0</v>
      </c>
      <c r="E11" s="7"/>
      <c r="F11" s="21">
        <f>SUM('Despesas Gerais'!J20:J20)</f>
        <v>0</v>
      </c>
      <c r="G11" s="8"/>
      <c r="H11" s="15">
        <f t="shared" si="0"/>
        <v>0</v>
      </c>
      <c r="I11" s="18">
        <f>'Despesas Gerais'!J4</f>
        <v>0</v>
      </c>
      <c r="J11" s="3"/>
      <c r="K11" s="3"/>
      <c r="L11" s="8"/>
      <c r="M11" s="8"/>
      <c r="N11" s="31" t="str">
        <v>Jogos/ Livros</v>
      </c>
      <c r="O11" s="34">
        <f>SUM('Despesas Gerais'!B15:M15)</f>
        <v>0</v>
      </c>
      <c r="P11" s="29"/>
    </row>
    <row r="12" spans="1:16" ht="15.75" customHeight="1" x14ac:dyDescent="0.4">
      <c r="A12" s="6" t="str">
        <v>Outubro</v>
      </c>
      <c r="B12" s="5"/>
      <c r="C12" s="15">
        <f>'Receita Líquida'!K18</f>
        <v>0</v>
      </c>
      <c r="D12" s="16">
        <f>SUM('Receita Líquida'!K$15:K$16)</f>
        <v>0</v>
      </c>
      <c r="E12" s="7"/>
      <c r="F12" s="21">
        <f>SUM('Despesas Gerais'!K20:K20)</f>
        <v>0</v>
      </c>
      <c r="G12" s="8"/>
      <c r="H12" s="15">
        <f t="shared" si="0"/>
        <v>0</v>
      </c>
      <c r="I12" s="18">
        <f>'Despesas Gerais'!K4</f>
        <v>0</v>
      </c>
      <c r="J12" s="3"/>
      <c r="K12" s="29"/>
      <c r="L12" s="30"/>
      <c r="M12" s="30"/>
      <c r="N12" s="43" t="str">
        <v>Rolê/ Entret.</v>
      </c>
      <c r="O12" s="34">
        <f>SUM('Despesas Gerais'!B16:M16)</f>
        <v>0</v>
      </c>
      <c r="P12" s="30"/>
    </row>
    <row r="13" spans="1:16" ht="16.2" x14ac:dyDescent="0.4">
      <c r="A13" s="6" t="str">
        <v>Novembro</v>
      </c>
      <c r="B13" s="5"/>
      <c r="C13" s="15">
        <f>'Receita Líquida'!L18</f>
        <v>0</v>
      </c>
      <c r="D13" s="16">
        <f>SUM('Receita Líquida'!L$15:L$16)</f>
        <v>0</v>
      </c>
      <c r="E13" s="7"/>
      <c r="F13" s="21">
        <f>SUM('Despesas Gerais'!L20:L20)</f>
        <v>0</v>
      </c>
      <c r="G13" s="8"/>
      <c r="H13" s="15">
        <f t="shared" si="0"/>
        <v>0</v>
      </c>
      <c r="I13" s="18">
        <f>'Despesas Gerais'!L4</f>
        <v>0</v>
      </c>
      <c r="J13" s="3"/>
      <c r="K13" s="29"/>
      <c r="L13" s="30"/>
      <c r="M13" s="30"/>
      <c r="N13" s="43" t="str">
        <v>Roupas</v>
      </c>
      <c r="O13" s="34">
        <f>SUM('Despesas Gerais'!B17:M17)</f>
        <v>0</v>
      </c>
      <c r="P13" s="30"/>
    </row>
    <row r="14" spans="1:16" ht="15" customHeight="1" thickBot="1" x14ac:dyDescent="0.45">
      <c r="A14" s="6" t="str">
        <v>Dezembro</v>
      </c>
      <c r="B14" s="5"/>
      <c r="C14" s="15">
        <f>'Receita Líquida'!M18</f>
        <v>0</v>
      </c>
      <c r="D14" s="16">
        <f>SUM('Receita Líquida'!M$15:M$16)</f>
        <v>0</v>
      </c>
      <c r="E14" s="7"/>
      <c r="F14" s="21">
        <f>SUM('Despesas Gerais'!M20:N20)</f>
        <v>0</v>
      </c>
      <c r="G14" s="8"/>
      <c r="H14" s="15">
        <f t="shared" si="0"/>
        <v>0</v>
      </c>
      <c r="I14" s="18">
        <f>'Despesas Gerais'!M4</f>
        <v>0</v>
      </c>
      <c r="J14" s="3"/>
      <c r="K14" s="29"/>
      <c r="L14" s="29"/>
      <c r="M14" s="29"/>
      <c r="N14" s="44" t="str">
        <v>G. Gerais</v>
      </c>
      <c r="O14" s="45">
        <f>SUM('Despesas Gerais'!B18:M18)</f>
        <v>0</v>
      </c>
      <c r="P14" s="29"/>
    </row>
    <row r="15" spans="1:16" ht="16.8" thickBot="1" x14ac:dyDescent="0.45">
      <c r="A15" s="6" t="s">
        <v>5</v>
      </c>
      <c r="B15" s="5"/>
      <c r="C15" s="17">
        <f>SUM(C3:C14)</f>
        <v>0</v>
      </c>
      <c r="D15" s="16">
        <f>SUM(D3:D14)</f>
        <v>0</v>
      </c>
      <c r="E15" s="7"/>
      <c r="F15" s="21">
        <f>SUM(F3:F14)</f>
        <v>0</v>
      </c>
      <c r="G15" s="8"/>
      <c r="H15" s="25" t="s">
        <v>12</v>
      </c>
      <c r="I15" s="20">
        <f>'Gráfico Anual'!L9</f>
        <v>0</v>
      </c>
      <c r="J15" s="3"/>
      <c r="K15" s="29"/>
      <c r="L15" s="29"/>
      <c r="M15" s="29"/>
      <c r="N15" s="29"/>
      <c r="O15" s="29"/>
      <c r="P15" s="29"/>
    </row>
    <row r="16" spans="1:16" ht="16.2" x14ac:dyDescent="0.4">
      <c r="A16" s="6" t="s">
        <v>6</v>
      </c>
      <c r="B16" s="5"/>
      <c r="C16" s="17">
        <f>AVERAGE(C3:C14)</f>
        <v>0</v>
      </c>
      <c r="D16" s="16">
        <f>AVERAGE(D3:D14)</f>
        <v>0</v>
      </c>
      <c r="E16" s="7"/>
      <c r="F16" s="22">
        <f>AVERAGE(F3:F14)</f>
        <v>0</v>
      </c>
      <c r="G16" s="7"/>
      <c r="H16" s="5"/>
      <c r="I16" s="10"/>
      <c r="J16" s="3"/>
      <c r="K16" s="29"/>
      <c r="L16" s="29"/>
      <c r="M16" s="29"/>
      <c r="N16" s="29"/>
      <c r="O16" s="29"/>
      <c r="P16" s="29"/>
    </row>
    <row r="17" spans="1:16" ht="16.2" x14ac:dyDescent="0.4">
      <c r="A17" s="6" t="s">
        <v>27</v>
      </c>
      <c r="B17" s="5"/>
      <c r="C17" s="15">
        <f>SUM(C3:C8)</f>
        <v>0</v>
      </c>
      <c r="D17" s="18">
        <f>SUM(D3:D8)</f>
        <v>0</v>
      </c>
      <c r="E17" s="8"/>
      <c r="F17" s="23">
        <f>SUM(F3:F8)</f>
        <v>0</v>
      </c>
      <c r="G17" s="5"/>
      <c r="H17" s="7"/>
      <c r="I17" s="3"/>
      <c r="J17" s="3"/>
      <c r="K17" s="29"/>
      <c r="L17" s="29"/>
      <c r="M17" s="29"/>
      <c r="N17" s="29"/>
      <c r="O17" s="29"/>
      <c r="P17" s="29"/>
    </row>
    <row r="18" spans="1:16" ht="16.8" thickBot="1" x14ac:dyDescent="0.45">
      <c r="A18" s="9" t="s">
        <v>28</v>
      </c>
      <c r="B18" s="5"/>
      <c r="C18" s="19">
        <f>SUM($C$9:$C$14)</f>
        <v>0</v>
      </c>
      <c r="D18" s="20">
        <f>SUM($D$9:$D$14)</f>
        <v>0</v>
      </c>
      <c r="E18" s="8"/>
      <c r="F18" s="24">
        <f>SUM($F$9:$F$14)</f>
        <v>0</v>
      </c>
      <c r="G18" s="5"/>
      <c r="H18" s="5"/>
      <c r="I18" s="3"/>
      <c r="J18" s="3"/>
      <c r="K18" s="29"/>
      <c r="L18" s="29"/>
      <c r="M18" s="29"/>
      <c r="N18" s="29"/>
      <c r="O18" s="29"/>
      <c r="P18" s="29"/>
    </row>
    <row r="19" spans="1:16" ht="16.2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29"/>
      <c r="L19" s="29"/>
      <c r="M19" s="29"/>
      <c r="N19" s="29"/>
      <c r="O19" s="29"/>
      <c r="P19" s="29"/>
    </row>
    <row r="20" spans="1:16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6" spans="1:16" ht="14.25" customHeight="1" x14ac:dyDescent="0.3"/>
    <row r="27" spans="1:16" ht="8.5500000000000007" customHeight="1" x14ac:dyDescent="0.3"/>
    <row r="28" spans="1:16" ht="17.100000000000001" customHeight="1" x14ac:dyDescent="0.3"/>
    <row r="29" spans="1:16" ht="9.3000000000000007" customHeight="1" x14ac:dyDescent="0.3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1CA7-74B3-43CB-B475-A4FBB6DB868B}">
  <dimension ref="B2:L202"/>
  <sheetViews>
    <sheetView zoomScale="115" zoomScaleNormal="115" workbookViewId="0">
      <selection activeCell="C2" sqref="C2"/>
    </sheetView>
  </sheetViews>
  <sheetFormatPr defaultColWidth="9.109375" defaultRowHeight="14.4" x14ac:dyDescent="0.3"/>
  <cols>
    <col min="1" max="1" width="9.109375" style="91"/>
    <col min="2" max="2" width="14.33203125" style="91" customWidth="1"/>
    <col min="3" max="3" width="16.44140625" style="91" customWidth="1"/>
    <col min="4" max="4" width="9.109375" style="91"/>
    <col min="5" max="6" width="10.6640625" style="91" customWidth="1"/>
    <col min="7" max="8" width="14.33203125" style="91" customWidth="1"/>
    <col min="9" max="9" width="16.44140625" style="91" customWidth="1"/>
    <col min="10" max="11" width="14.33203125" style="91" customWidth="1"/>
    <col min="12" max="12" width="28.5546875" style="91" customWidth="1"/>
    <col min="13" max="16384" width="9.109375" style="91"/>
  </cols>
  <sheetData>
    <row r="2" spans="2:12" ht="14.25" customHeight="1" x14ac:dyDescent="0.4">
      <c r="B2" s="35" t="s">
        <v>82</v>
      </c>
      <c r="C2" s="35"/>
      <c r="E2" s="35" t="s">
        <v>76</v>
      </c>
      <c r="F2" s="35" t="s">
        <v>30</v>
      </c>
      <c r="G2" s="35" t="s">
        <v>0</v>
      </c>
      <c r="H2" s="35" t="s">
        <v>35</v>
      </c>
      <c r="I2" s="35" t="s">
        <v>31</v>
      </c>
      <c r="J2" s="35" t="s">
        <v>69</v>
      </c>
      <c r="K2" s="35" t="s">
        <v>25</v>
      </c>
      <c r="L2" s="35" t="s">
        <v>13</v>
      </c>
    </row>
    <row r="3" spans="2:12" ht="16.2" x14ac:dyDescent="0.4">
      <c r="B3" s="46" t="s">
        <v>77</v>
      </c>
      <c r="C3" s="2">
        <f>MAX($K$3:$K$185)</f>
        <v>0</v>
      </c>
      <c r="E3" s="54">
        <v>0</v>
      </c>
      <c r="F3" s="55" cm="1">
        <f t="array" ref="F3:L4">_xlfn._xlws.SORT(_xlfn._xlws.FILTER(Tabela1[],Tabela1[Descrição]=C2),1,1,FALSE)</f>
        <v>0</v>
      </c>
      <c r="G3" s="54" t="str">
        <v/>
      </c>
      <c r="H3" s="54">
        <v>0</v>
      </c>
      <c r="I3" s="54">
        <v>0</v>
      </c>
      <c r="J3" s="54">
        <v>0</v>
      </c>
      <c r="K3" s="56">
        <v>0</v>
      </c>
      <c r="L3" s="54">
        <v>0</v>
      </c>
    </row>
    <row r="4" spans="2:12" ht="16.2" x14ac:dyDescent="0.4">
      <c r="B4" s="46" t="s">
        <v>78</v>
      </c>
      <c r="C4" s="2">
        <f>MIN($K$3:$K$185)</f>
        <v>0</v>
      </c>
      <c r="E4" s="54">
        <f>IF(ISBLANK(F4),"",F4-F3)</f>
        <v>0</v>
      </c>
      <c r="F4" s="55">
        <v>0</v>
      </c>
      <c r="G4" s="54" t="str">
        <v/>
      </c>
      <c r="H4" s="54">
        <v>0</v>
      </c>
      <c r="I4" s="54">
        <v>0</v>
      </c>
      <c r="J4" s="54">
        <v>0</v>
      </c>
      <c r="K4" s="56">
        <v>0</v>
      </c>
      <c r="L4" s="54">
        <v>0</v>
      </c>
    </row>
    <row r="5" spans="2:12" ht="16.2" x14ac:dyDescent="0.4">
      <c r="B5" s="46" t="s">
        <v>6</v>
      </c>
      <c r="C5" s="2">
        <f>AVERAGE($K$3:$K$185)</f>
        <v>0</v>
      </c>
      <c r="E5" s="54" t="str">
        <f t="shared" ref="E5:E68" si="0">IF(ISBLANK(F5),"",F5-F4)</f>
        <v/>
      </c>
      <c r="F5" s="55"/>
      <c r="G5" s="54"/>
      <c r="H5" s="54"/>
      <c r="I5" s="54"/>
      <c r="J5" s="54"/>
      <c r="K5" s="56"/>
      <c r="L5" s="54"/>
    </row>
    <row r="6" spans="2:12" ht="16.2" x14ac:dyDescent="0.4">
      <c r="B6" s="46" t="s">
        <v>79</v>
      </c>
      <c r="C6" s="2">
        <f>SUM($K$3:$K$185)</f>
        <v>0</v>
      </c>
      <c r="E6" s="54" t="str">
        <f t="shared" si="0"/>
        <v/>
      </c>
      <c r="F6" s="55"/>
      <c r="G6" s="54"/>
      <c r="H6" s="54"/>
      <c r="I6" s="54"/>
      <c r="J6" s="54"/>
      <c r="K6" s="56"/>
      <c r="L6" s="54"/>
    </row>
    <row r="7" spans="2:12" ht="16.2" x14ac:dyDescent="0.4">
      <c r="B7" s="46" t="s">
        <v>80</v>
      </c>
      <c r="C7" s="54">
        <f>SUBTOTAL(2,F3:F185)</f>
        <v>2</v>
      </c>
      <c r="E7" s="54" t="str">
        <f t="shared" si="0"/>
        <v/>
      </c>
      <c r="F7" s="55"/>
      <c r="G7" s="54"/>
      <c r="H7" s="54"/>
      <c r="I7" s="54"/>
      <c r="J7" s="54"/>
      <c r="K7" s="56"/>
      <c r="L7" s="54"/>
    </row>
    <row r="8" spans="2:12" ht="16.2" x14ac:dyDescent="0.4">
      <c r="B8" s="46" t="s">
        <v>81</v>
      </c>
      <c r="C8" s="57">
        <f>IFERROR(AVERAGE($E$4:$E$185)+MAX($F$3:$F$185),"Não há dados.")</f>
        <v>0</v>
      </c>
      <c r="E8" s="54" t="str">
        <f t="shared" si="0"/>
        <v/>
      </c>
      <c r="F8" s="55"/>
      <c r="G8" s="54"/>
      <c r="H8" s="54"/>
      <c r="I8" s="54"/>
      <c r="J8" s="54"/>
      <c r="K8" s="56"/>
      <c r="L8" s="54"/>
    </row>
    <row r="9" spans="2:12" ht="16.2" x14ac:dyDescent="0.4">
      <c r="E9" s="54" t="str">
        <f t="shared" si="0"/>
        <v/>
      </c>
      <c r="F9" s="55"/>
      <c r="G9" s="54"/>
      <c r="H9" s="54"/>
      <c r="I9" s="54"/>
      <c r="J9" s="54"/>
      <c r="K9" s="56"/>
      <c r="L9" s="54"/>
    </row>
    <row r="10" spans="2:12" ht="16.2" x14ac:dyDescent="0.4">
      <c r="B10" s="35" t="s">
        <v>0</v>
      </c>
      <c r="C10" s="35" t="s">
        <v>25</v>
      </c>
      <c r="E10" s="54" t="str">
        <f t="shared" si="0"/>
        <v/>
      </c>
      <c r="F10" s="55"/>
      <c r="G10" s="54"/>
      <c r="H10" s="54"/>
      <c r="I10" s="54"/>
      <c r="J10" s="54"/>
      <c r="K10" s="56"/>
      <c r="L10" s="54"/>
    </row>
    <row r="11" spans="2:12" ht="16.2" x14ac:dyDescent="0.4">
      <c r="B11" s="46" t="str" cm="1">
        <f t="array" ref="B11:B22">Meses</f>
        <v>Janeiro</v>
      </c>
      <c r="C11" s="58">
        <f t="shared" ref="C11:C22" si="1">SUMIFS($K$3:$K$185,$G$3:$G$185,B11,$L$3:$L$185,$C$2)</f>
        <v>0</v>
      </c>
      <c r="E11" s="54" t="str">
        <f t="shared" si="0"/>
        <v/>
      </c>
      <c r="F11" s="55"/>
      <c r="G11" s="54"/>
      <c r="H11" s="54"/>
      <c r="I11" s="54"/>
      <c r="J11" s="54"/>
      <c r="K11" s="56"/>
      <c r="L11" s="54"/>
    </row>
    <row r="12" spans="2:12" ht="16.2" x14ac:dyDescent="0.4">
      <c r="B12" s="46" t="str">
        <v>Fevereiro</v>
      </c>
      <c r="C12" s="58">
        <f t="shared" si="1"/>
        <v>0</v>
      </c>
      <c r="E12" s="54" t="str">
        <f t="shared" si="0"/>
        <v/>
      </c>
      <c r="F12" s="55"/>
      <c r="G12" s="54"/>
      <c r="H12" s="54"/>
      <c r="I12" s="54"/>
      <c r="J12" s="54"/>
      <c r="K12" s="56"/>
      <c r="L12" s="54"/>
    </row>
    <row r="13" spans="2:12" ht="16.2" x14ac:dyDescent="0.4">
      <c r="B13" s="46" t="str">
        <v>Março</v>
      </c>
      <c r="C13" s="58">
        <f t="shared" si="1"/>
        <v>0</v>
      </c>
      <c r="E13" s="54" t="str">
        <f t="shared" si="0"/>
        <v/>
      </c>
      <c r="F13" s="55"/>
      <c r="G13" s="54"/>
      <c r="H13" s="54"/>
      <c r="I13" s="54"/>
      <c r="J13" s="54"/>
      <c r="K13" s="56"/>
      <c r="L13" s="54"/>
    </row>
    <row r="14" spans="2:12" ht="16.2" x14ac:dyDescent="0.4">
      <c r="B14" s="46" t="str">
        <v>Abril</v>
      </c>
      <c r="C14" s="58">
        <f t="shared" si="1"/>
        <v>0</v>
      </c>
      <c r="E14" s="54" t="str">
        <f t="shared" si="0"/>
        <v/>
      </c>
      <c r="F14" s="55"/>
      <c r="G14" s="54"/>
      <c r="H14" s="54"/>
      <c r="I14" s="54"/>
      <c r="J14" s="54"/>
      <c r="K14" s="56"/>
      <c r="L14" s="54"/>
    </row>
    <row r="15" spans="2:12" ht="16.2" x14ac:dyDescent="0.4">
      <c r="B15" s="46" t="str">
        <v>Maio</v>
      </c>
      <c r="C15" s="58">
        <f t="shared" si="1"/>
        <v>0</v>
      </c>
      <c r="E15" s="54" t="str">
        <f t="shared" si="0"/>
        <v/>
      </c>
      <c r="F15" s="55"/>
      <c r="G15" s="54"/>
      <c r="H15" s="54"/>
      <c r="I15" s="54"/>
      <c r="J15" s="54"/>
      <c r="K15" s="56"/>
      <c r="L15" s="54"/>
    </row>
    <row r="16" spans="2:12" ht="16.2" x14ac:dyDescent="0.4">
      <c r="B16" s="46" t="str">
        <v>Junho</v>
      </c>
      <c r="C16" s="58">
        <f t="shared" si="1"/>
        <v>0</v>
      </c>
      <c r="E16" s="54" t="str">
        <f t="shared" si="0"/>
        <v/>
      </c>
      <c r="F16" s="55"/>
      <c r="G16" s="54"/>
      <c r="H16" s="54"/>
      <c r="I16" s="54"/>
      <c r="J16" s="54"/>
      <c r="K16" s="56"/>
      <c r="L16" s="54"/>
    </row>
    <row r="17" spans="2:12" ht="16.2" x14ac:dyDescent="0.4">
      <c r="B17" s="46" t="str">
        <v>Julho</v>
      </c>
      <c r="C17" s="58">
        <f t="shared" si="1"/>
        <v>0</v>
      </c>
      <c r="E17" s="54" t="str">
        <f t="shared" si="0"/>
        <v/>
      </c>
      <c r="F17" s="55"/>
      <c r="G17" s="54"/>
      <c r="H17" s="54"/>
      <c r="I17" s="54"/>
      <c r="J17" s="54"/>
      <c r="K17" s="56"/>
      <c r="L17" s="54"/>
    </row>
    <row r="18" spans="2:12" ht="16.2" x14ac:dyDescent="0.4">
      <c r="B18" s="46" t="str">
        <v>Agosto</v>
      </c>
      <c r="C18" s="58">
        <f t="shared" si="1"/>
        <v>0</v>
      </c>
      <c r="E18" s="54" t="str">
        <f t="shared" si="0"/>
        <v/>
      </c>
      <c r="F18" s="55"/>
      <c r="G18" s="54"/>
      <c r="H18" s="54"/>
      <c r="I18" s="54"/>
      <c r="J18" s="54"/>
      <c r="K18" s="56"/>
      <c r="L18" s="54"/>
    </row>
    <row r="19" spans="2:12" ht="16.2" x14ac:dyDescent="0.4">
      <c r="B19" s="46" t="str">
        <v>Setembro</v>
      </c>
      <c r="C19" s="58">
        <f t="shared" si="1"/>
        <v>0</v>
      </c>
      <c r="E19" s="54" t="str">
        <f t="shared" si="0"/>
        <v/>
      </c>
      <c r="F19" s="55"/>
      <c r="G19" s="54"/>
      <c r="H19" s="54"/>
      <c r="I19" s="54"/>
      <c r="J19" s="54"/>
      <c r="K19" s="56"/>
      <c r="L19" s="54"/>
    </row>
    <row r="20" spans="2:12" ht="16.2" x14ac:dyDescent="0.4">
      <c r="B20" s="46" t="str">
        <v>Outubro</v>
      </c>
      <c r="C20" s="58">
        <f t="shared" si="1"/>
        <v>0</v>
      </c>
      <c r="E20" s="54" t="str">
        <f t="shared" si="0"/>
        <v/>
      </c>
      <c r="F20" s="55"/>
      <c r="G20" s="54"/>
      <c r="H20" s="54"/>
      <c r="I20" s="54"/>
      <c r="J20" s="54"/>
      <c r="K20" s="56"/>
      <c r="L20" s="54"/>
    </row>
    <row r="21" spans="2:12" ht="16.2" x14ac:dyDescent="0.4">
      <c r="B21" s="46" t="str">
        <v>Novembro</v>
      </c>
      <c r="C21" s="58">
        <f t="shared" si="1"/>
        <v>0</v>
      </c>
      <c r="E21" s="54" t="str">
        <f t="shared" si="0"/>
        <v/>
      </c>
      <c r="F21" s="55"/>
      <c r="G21" s="54"/>
      <c r="H21" s="54"/>
      <c r="I21" s="54"/>
      <c r="J21" s="54"/>
      <c r="K21" s="56"/>
      <c r="L21" s="54"/>
    </row>
    <row r="22" spans="2:12" ht="16.2" x14ac:dyDescent="0.4">
      <c r="B22" s="46" t="str">
        <v>Dezembro</v>
      </c>
      <c r="C22" s="58">
        <f t="shared" si="1"/>
        <v>0</v>
      </c>
      <c r="E22" s="54" t="str">
        <f t="shared" si="0"/>
        <v/>
      </c>
      <c r="F22" s="55"/>
      <c r="G22" s="54"/>
      <c r="H22" s="54"/>
      <c r="I22" s="54"/>
      <c r="J22" s="54"/>
      <c r="K22" s="56"/>
      <c r="L22" s="54"/>
    </row>
    <row r="23" spans="2:12" ht="16.2" x14ac:dyDescent="0.4">
      <c r="E23" s="54" t="str">
        <f t="shared" si="0"/>
        <v/>
      </c>
      <c r="F23" s="55"/>
      <c r="G23" s="54"/>
      <c r="H23" s="54"/>
      <c r="I23" s="54"/>
      <c r="J23" s="54"/>
      <c r="K23" s="56"/>
      <c r="L23" s="54"/>
    </row>
    <row r="24" spans="2:12" ht="16.2" x14ac:dyDescent="0.4">
      <c r="E24" s="54" t="str">
        <f t="shared" si="0"/>
        <v/>
      </c>
      <c r="F24" s="55"/>
      <c r="G24" s="54"/>
      <c r="H24" s="54"/>
      <c r="I24" s="54"/>
      <c r="J24" s="54"/>
      <c r="K24" s="56"/>
      <c r="L24" s="54"/>
    </row>
    <row r="25" spans="2:12" ht="16.2" x14ac:dyDescent="0.4">
      <c r="E25" s="54" t="str">
        <f t="shared" si="0"/>
        <v/>
      </c>
      <c r="F25" s="55"/>
      <c r="G25" s="54"/>
      <c r="H25" s="54"/>
      <c r="I25" s="54"/>
      <c r="J25" s="54"/>
      <c r="K25" s="56"/>
      <c r="L25" s="54"/>
    </row>
    <row r="26" spans="2:12" ht="16.2" x14ac:dyDescent="0.4">
      <c r="E26" s="54" t="str">
        <f t="shared" si="0"/>
        <v/>
      </c>
      <c r="F26" s="55"/>
      <c r="G26" s="54"/>
      <c r="H26" s="54"/>
      <c r="I26" s="54"/>
      <c r="J26" s="54"/>
      <c r="K26" s="56"/>
      <c r="L26" s="54"/>
    </row>
    <row r="27" spans="2:12" ht="16.2" x14ac:dyDescent="0.4">
      <c r="E27" s="54" t="str">
        <f t="shared" si="0"/>
        <v/>
      </c>
      <c r="F27" s="55"/>
      <c r="G27" s="54"/>
      <c r="H27" s="54"/>
      <c r="I27" s="54"/>
      <c r="J27" s="54"/>
      <c r="K27" s="56"/>
      <c r="L27" s="54"/>
    </row>
    <row r="28" spans="2:12" ht="16.2" x14ac:dyDescent="0.4">
      <c r="E28" s="54" t="str">
        <f t="shared" si="0"/>
        <v/>
      </c>
      <c r="F28" s="55"/>
      <c r="G28" s="54"/>
      <c r="H28" s="54"/>
      <c r="I28" s="54"/>
      <c r="J28" s="54"/>
      <c r="K28" s="56"/>
      <c r="L28" s="54"/>
    </row>
    <row r="29" spans="2:12" ht="16.2" x14ac:dyDescent="0.4">
      <c r="E29" s="54" t="str">
        <f t="shared" si="0"/>
        <v/>
      </c>
      <c r="F29" s="55"/>
      <c r="G29" s="54"/>
      <c r="H29" s="54"/>
      <c r="I29" s="54"/>
      <c r="J29" s="54"/>
      <c r="K29" s="56"/>
      <c r="L29" s="54"/>
    </row>
    <row r="30" spans="2:12" ht="16.2" x14ac:dyDescent="0.4">
      <c r="E30" s="54" t="str">
        <f t="shared" si="0"/>
        <v/>
      </c>
      <c r="F30" s="55"/>
      <c r="G30" s="54"/>
      <c r="H30" s="54"/>
      <c r="I30" s="54"/>
      <c r="J30" s="54"/>
      <c r="K30" s="56"/>
      <c r="L30" s="54"/>
    </row>
    <row r="31" spans="2:12" ht="16.2" x14ac:dyDescent="0.4">
      <c r="E31" s="54" t="str">
        <f t="shared" si="0"/>
        <v/>
      </c>
      <c r="F31" s="55"/>
      <c r="G31" s="54"/>
      <c r="H31" s="54"/>
      <c r="I31" s="54"/>
      <c r="J31" s="54"/>
      <c r="K31" s="56"/>
      <c r="L31" s="54"/>
    </row>
    <row r="32" spans="2:12" ht="16.2" x14ac:dyDescent="0.4">
      <c r="E32" s="54" t="str">
        <f t="shared" si="0"/>
        <v/>
      </c>
      <c r="F32" s="55"/>
      <c r="G32" s="54"/>
      <c r="H32" s="54"/>
      <c r="I32" s="54"/>
      <c r="J32" s="54"/>
      <c r="K32" s="56"/>
      <c r="L32" s="54"/>
    </row>
    <row r="33" spans="5:12" ht="16.2" x14ac:dyDescent="0.4">
      <c r="E33" s="54" t="str">
        <f t="shared" si="0"/>
        <v/>
      </c>
      <c r="F33" s="55"/>
      <c r="G33" s="54"/>
      <c r="H33" s="54"/>
      <c r="I33" s="54"/>
      <c r="J33" s="54"/>
      <c r="K33" s="56"/>
      <c r="L33" s="54"/>
    </row>
    <row r="34" spans="5:12" ht="16.2" x14ac:dyDescent="0.4">
      <c r="E34" s="54" t="str">
        <f t="shared" si="0"/>
        <v/>
      </c>
      <c r="F34" s="55"/>
      <c r="G34" s="54"/>
      <c r="H34" s="54"/>
      <c r="I34" s="54"/>
      <c r="J34" s="54"/>
      <c r="K34" s="56"/>
      <c r="L34" s="54"/>
    </row>
    <row r="35" spans="5:12" ht="16.2" x14ac:dyDescent="0.4">
      <c r="E35" s="54" t="str">
        <f t="shared" si="0"/>
        <v/>
      </c>
      <c r="F35" s="55"/>
      <c r="G35" s="54"/>
      <c r="H35" s="54"/>
      <c r="I35" s="54"/>
      <c r="J35" s="54"/>
      <c r="K35" s="56"/>
      <c r="L35" s="54"/>
    </row>
    <row r="36" spans="5:12" ht="16.2" x14ac:dyDescent="0.4">
      <c r="E36" s="54" t="str">
        <f t="shared" si="0"/>
        <v/>
      </c>
      <c r="F36" s="55"/>
      <c r="G36" s="54"/>
      <c r="H36" s="54"/>
      <c r="I36" s="54"/>
      <c r="J36" s="54"/>
      <c r="K36" s="56"/>
      <c r="L36" s="54"/>
    </row>
    <row r="37" spans="5:12" ht="16.2" x14ac:dyDescent="0.4">
      <c r="E37" s="54" t="str">
        <f t="shared" si="0"/>
        <v/>
      </c>
      <c r="F37" s="55"/>
      <c r="G37" s="54"/>
      <c r="H37" s="54"/>
      <c r="I37" s="54"/>
      <c r="J37" s="54"/>
      <c r="K37" s="56"/>
      <c r="L37" s="54"/>
    </row>
    <row r="38" spans="5:12" ht="16.2" x14ac:dyDescent="0.4">
      <c r="E38" s="54" t="str">
        <f t="shared" si="0"/>
        <v/>
      </c>
      <c r="F38" s="55"/>
      <c r="G38" s="54"/>
      <c r="H38" s="54"/>
      <c r="I38" s="54"/>
      <c r="J38" s="54"/>
      <c r="K38" s="56"/>
      <c r="L38" s="54"/>
    </row>
    <row r="39" spans="5:12" ht="16.2" x14ac:dyDescent="0.4">
      <c r="E39" s="54" t="str">
        <f t="shared" si="0"/>
        <v/>
      </c>
      <c r="F39" s="55"/>
      <c r="G39" s="54"/>
      <c r="H39" s="54"/>
      <c r="I39" s="54"/>
      <c r="J39" s="54"/>
      <c r="K39" s="56"/>
      <c r="L39" s="54"/>
    </row>
    <row r="40" spans="5:12" ht="16.2" x14ac:dyDescent="0.4">
      <c r="E40" s="54" t="str">
        <f t="shared" si="0"/>
        <v/>
      </c>
      <c r="F40" s="55"/>
      <c r="G40" s="54"/>
      <c r="H40" s="54"/>
      <c r="I40" s="54"/>
      <c r="J40" s="54"/>
      <c r="K40" s="56"/>
      <c r="L40" s="54"/>
    </row>
    <row r="41" spans="5:12" ht="16.2" x14ac:dyDescent="0.4">
      <c r="E41" s="54" t="str">
        <f t="shared" si="0"/>
        <v/>
      </c>
      <c r="F41" s="55"/>
      <c r="G41" s="54"/>
      <c r="H41" s="54"/>
      <c r="I41" s="54"/>
      <c r="J41" s="54"/>
      <c r="K41" s="56"/>
      <c r="L41" s="54"/>
    </row>
    <row r="42" spans="5:12" ht="16.2" x14ac:dyDescent="0.4">
      <c r="E42" s="54" t="str">
        <f t="shared" si="0"/>
        <v/>
      </c>
      <c r="F42" s="55"/>
      <c r="G42" s="54"/>
      <c r="H42" s="54"/>
      <c r="I42" s="54"/>
      <c r="J42" s="54"/>
      <c r="K42" s="56"/>
      <c r="L42" s="54"/>
    </row>
    <row r="43" spans="5:12" ht="16.2" x14ac:dyDescent="0.4">
      <c r="E43" s="54" t="str">
        <f t="shared" si="0"/>
        <v/>
      </c>
      <c r="F43" s="55"/>
      <c r="G43" s="54"/>
      <c r="H43" s="54"/>
      <c r="I43" s="54"/>
      <c r="J43" s="54"/>
      <c r="K43" s="56"/>
      <c r="L43" s="54"/>
    </row>
    <row r="44" spans="5:12" ht="16.2" x14ac:dyDescent="0.4">
      <c r="E44" s="54" t="str">
        <f t="shared" si="0"/>
        <v/>
      </c>
      <c r="F44" s="55"/>
      <c r="G44" s="54"/>
      <c r="H44" s="54"/>
      <c r="I44" s="54"/>
      <c r="J44" s="54"/>
      <c r="K44" s="56"/>
      <c r="L44" s="54"/>
    </row>
    <row r="45" spans="5:12" ht="16.2" x14ac:dyDescent="0.4">
      <c r="E45" s="54" t="str">
        <f t="shared" si="0"/>
        <v/>
      </c>
      <c r="F45" s="55"/>
      <c r="G45" s="54"/>
      <c r="H45" s="54"/>
      <c r="I45" s="54"/>
      <c r="J45" s="54"/>
      <c r="K45" s="56"/>
      <c r="L45" s="54"/>
    </row>
    <row r="46" spans="5:12" ht="16.2" x14ac:dyDescent="0.4">
      <c r="E46" s="54" t="str">
        <f t="shared" si="0"/>
        <v/>
      </c>
      <c r="F46" s="55"/>
      <c r="G46" s="54"/>
      <c r="H46" s="54"/>
      <c r="I46" s="54"/>
      <c r="J46" s="54"/>
      <c r="K46" s="56"/>
      <c r="L46" s="54"/>
    </row>
    <row r="47" spans="5:12" ht="16.2" x14ac:dyDescent="0.4">
      <c r="E47" s="54" t="str">
        <f t="shared" si="0"/>
        <v/>
      </c>
      <c r="F47" s="55"/>
      <c r="G47" s="54"/>
      <c r="H47" s="54"/>
      <c r="I47" s="54"/>
      <c r="J47" s="54"/>
      <c r="K47" s="56"/>
      <c r="L47" s="54"/>
    </row>
    <row r="48" spans="5:12" ht="16.2" x14ac:dyDescent="0.4">
      <c r="E48" s="54" t="str">
        <f t="shared" si="0"/>
        <v/>
      </c>
      <c r="F48" s="55"/>
      <c r="G48" s="54"/>
      <c r="H48" s="54"/>
      <c r="I48" s="54"/>
      <c r="J48" s="54"/>
      <c r="K48" s="56"/>
      <c r="L48" s="54"/>
    </row>
    <row r="49" spans="5:12" ht="16.2" x14ac:dyDescent="0.4">
      <c r="E49" s="54" t="str">
        <f t="shared" si="0"/>
        <v/>
      </c>
      <c r="F49" s="55"/>
      <c r="G49" s="54"/>
      <c r="H49" s="54"/>
      <c r="I49" s="54"/>
      <c r="J49" s="54"/>
      <c r="K49" s="56"/>
      <c r="L49" s="54"/>
    </row>
    <row r="50" spans="5:12" ht="16.2" x14ac:dyDescent="0.4">
      <c r="E50" s="54" t="str">
        <f t="shared" si="0"/>
        <v/>
      </c>
      <c r="F50" s="55"/>
      <c r="G50" s="54"/>
      <c r="H50" s="54"/>
      <c r="I50" s="54"/>
      <c r="J50" s="54"/>
      <c r="K50" s="56"/>
      <c r="L50" s="54"/>
    </row>
    <row r="51" spans="5:12" ht="16.2" x14ac:dyDescent="0.4">
      <c r="E51" s="54" t="str">
        <f t="shared" si="0"/>
        <v/>
      </c>
      <c r="F51" s="55"/>
      <c r="G51" s="54"/>
      <c r="H51" s="54"/>
      <c r="I51" s="54"/>
      <c r="J51" s="54"/>
      <c r="K51" s="56"/>
      <c r="L51" s="54"/>
    </row>
    <row r="52" spans="5:12" ht="16.2" x14ac:dyDescent="0.4">
      <c r="E52" s="54" t="str">
        <f t="shared" si="0"/>
        <v/>
      </c>
      <c r="F52" s="55"/>
      <c r="G52" s="54"/>
      <c r="H52" s="54"/>
      <c r="I52" s="54"/>
      <c r="J52" s="54"/>
      <c r="K52" s="56"/>
      <c r="L52" s="54"/>
    </row>
    <row r="53" spans="5:12" ht="16.2" x14ac:dyDescent="0.4">
      <c r="E53" s="54" t="str">
        <f t="shared" si="0"/>
        <v/>
      </c>
      <c r="F53" s="55"/>
      <c r="G53" s="54"/>
      <c r="H53" s="54"/>
      <c r="I53" s="54"/>
      <c r="J53" s="54"/>
      <c r="K53" s="56"/>
      <c r="L53" s="54"/>
    </row>
    <row r="54" spans="5:12" ht="16.2" x14ac:dyDescent="0.4">
      <c r="E54" s="54" t="str">
        <f t="shared" si="0"/>
        <v/>
      </c>
      <c r="F54" s="55"/>
      <c r="G54" s="54"/>
      <c r="H54" s="54"/>
      <c r="I54" s="54"/>
      <c r="J54" s="54"/>
      <c r="K54" s="56"/>
      <c r="L54" s="54"/>
    </row>
    <row r="55" spans="5:12" ht="16.2" x14ac:dyDescent="0.4">
      <c r="E55" s="54" t="str">
        <f t="shared" si="0"/>
        <v/>
      </c>
      <c r="F55" s="55"/>
      <c r="G55" s="54"/>
      <c r="H55" s="54"/>
      <c r="I55" s="54"/>
      <c r="J55" s="54"/>
      <c r="K55" s="56"/>
      <c r="L55" s="54"/>
    </row>
    <row r="56" spans="5:12" ht="16.2" x14ac:dyDescent="0.4">
      <c r="E56" s="54" t="str">
        <f t="shared" si="0"/>
        <v/>
      </c>
      <c r="F56" s="55"/>
      <c r="G56" s="54"/>
      <c r="H56" s="54"/>
      <c r="I56" s="54"/>
      <c r="J56" s="54"/>
      <c r="K56" s="56"/>
      <c r="L56" s="54"/>
    </row>
    <row r="57" spans="5:12" ht="16.2" x14ac:dyDescent="0.4">
      <c r="E57" s="54" t="str">
        <f t="shared" si="0"/>
        <v/>
      </c>
      <c r="F57" s="55"/>
      <c r="G57" s="54"/>
      <c r="H57" s="54"/>
      <c r="I57" s="54"/>
      <c r="J57" s="54"/>
      <c r="K57" s="56"/>
      <c r="L57" s="54"/>
    </row>
    <row r="58" spans="5:12" ht="16.2" x14ac:dyDescent="0.4">
      <c r="E58" s="54" t="str">
        <f t="shared" si="0"/>
        <v/>
      </c>
      <c r="F58" s="55"/>
      <c r="G58" s="54"/>
      <c r="H58" s="54"/>
      <c r="I58" s="54"/>
      <c r="J58" s="54"/>
      <c r="K58" s="56"/>
      <c r="L58" s="54"/>
    </row>
    <row r="59" spans="5:12" ht="16.2" x14ac:dyDescent="0.4">
      <c r="E59" s="54" t="str">
        <f t="shared" si="0"/>
        <v/>
      </c>
      <c r="F59" s="55"/>
      <c r="G59" s="54"/>
      <c r="H59" s="54"/>
      <c r="I59" s="54"/>
      <c r="J59" s="54"/>
      <c r="K59" s="56"/>
      <c r="L59" s="54"/>
    </row>
    <row r="60" spans="5:12" ht="16.2" x14ac:dyDescent="0.4">
      <c r="E60" s="54" t="str">
        <f t="shared" si="0"/>
        <v/>
      </c>
      <c r="F60" s="55"/>
      <c r="G60" s="54"/>
      <c r="H60" s="54"/>
      <c r="I60" s="54"/>
      <c r="J60" s="54"/>
      <c r="K60" s="56"/>
      <c r="L60" s="54"/>
    </row>
    <row r="61" spans="5:12" ht="16.2" x14ac:dyDescent="0.4">
      <c r="E61" s="54" t="str">
        <f t="shared" si="0"/>
        <v/>
      </c>
      <c r="F61" s="55"/>
      <c r="G61" s="54"/>
      <c r="H61" s="54"/>
      <c r="I61" s="54"/>
      <c r="J61" s="54"/>
      <c r="K61" s="56"/>
      <c r="L61" s="54"/>
    </row>
    <row r="62" spans="5:12" ht="16.2" x14ac:dyDescent="0.4">
      <c r="E62" s="54" t="str">
        <f t="shared" si="0"/>
        <v/>
      </c>
      <c r="F62" s="55"/>
      <c r="G62" s="54"/>
      <c r="H62" s="54"/>
      <c r="I62" s="54"/>
      <c r="J62" s="54"/>
      <c r="K62" s="56"/>
      <c r="L62" s="54"/>
    </row>
    <row r="63" spans="5:12" ht="16.2" x14ac:dyDescent="0.4">
      <c r="E63" s="54" t="str">
        <f t="shared" si="0"/>
        <v/>
      </c>
      <c r="F63" s="55"/>
      <c r="G63" s="54"/>
      <c r="H63" s="54"/>
      <c r="I63" s="54"/>
      <c r="J63" s="54"/>
      <c r="K63" s="56"/>
      <c r="L63" s="54"/>
    </row>
    <row r="64" spans="5:12" ht="16.2" x14ac:dyDescent="0.4">
      <c r="E64" s="54" t="str">
        <f t="shared" si="0"/>
        <v/>
      </c>
      <c r="F64" s="55"/>
      <c r="G64" s="54"/>
      <c r="H64" s="54"/>
      <c r="I64" s="54"/>
      <c r="J64" s="54"/>
      <c r="K64" s="56"/>
      <c r="L64" s="54"/>
    </row>
    <row r="65" spans="5:12" ht="16.2" x14ac:dyDescent="0.4">
      <c r="E65" s="54" t="str">
        <f t="shared" si="0"/>
        <v/>
      </c>
      <c r="F65" s="55"/>
      <c r="G65" s="54"/>
      <c r="H65" s="54"/>
      <c r="I65" s="54"/>
      <c r="J65" s="54"/>
      <c r="K65" s="56"/>
      <c r="L65" s="54"/>
    </row>
    <row r="66" spans="5:12" ht="16.2" x14ac:dyDescent="0.4">
      <c r="E66" s="54" t="str">
        <f t="shared" si="0"/>
        <v/>
      </c>
      <c r="F66" s="55"/>
      <c r="G66" s="54"/>
      <c r="H66" s="54"/>
      <c r="I66" s="54"/>
      <c r="J66" s="54"/>
      <c r="K66" s="56"/>
      <c r="L66" s="54"/>
    </row>
    <row r="67" spans="5:12" ht="16.2" x14ac:dyDescent="0.4">
      <c r="E67" s="54" t="str">
        <f t="shared" si="0"/>
        <v/>
      </c>
      <c r="F67" s="55"/>
      <c r="G67" s="54"/>
      <c r="H67" s="54"/>
      <c r="I67" s="54"/>
      <c r="J67" s="54"/>
      <c r="K67" s="56"/>
      <c r="L67" s="54"/>
    </row>
    <row r="68" spans="5:12" ht="16.2" x14ac:dyDescent="0.4">
      <c r="E68" s="54" t="str">
        <f t="shared" si="0"/>
        <v/>
      </c>
      <c r="F68" s="55"/>
      <c r="G68" s="54"/>
      <c r="H68" s="54"/>
      <c r="I68" s="54"/>
      <c r="J68" s="54"/>
      <c r="K68" s="56"/>
      <c r="L68" s="54"/>
    </row>
    <row r="69" spans="5:12" ht="16.2" x14ac:dyDescent="0.4">
      <c r="E69" s="54" t="str">
        <f t="shared" ref="E69:E132" si="2">IF(ISBLANK(F69),"",F69-F68)</f>
        <v/>
      </c>
      <c r="F69" s="55"/>
      <c r="G69" s="54"/>
      <c r="H69" s="54"/>
      <c r="I69" s="54"/>
      <c r="J69" s="54"/>
      <c r="K69" s="56"/>
      <c r="L69" s="54"/>
    </row>
    <row r="70" spans="5:12" ht="16.2" x14ac:dyDescent="0.4">
      <c r="E70" s="54" t="str">
        <f t="shared" si="2"/>
        <v/>
      </c>
      <c r="F70" s="55"/>
      <c r="G70" s="54"/>
      <c r="H70" s="54"/>
      <c r="I70" s="54"/>
      <c r="J70" s="54"/>
      <c r="K70" s="56"/>
      <c r="L70" s="54"/>
    </row>
    <row r="71" spans="5:12" ht="16.2" x14ac:dyDescent="0.4">
      <c r="E71" s="54" t="str">
        <f t="shared" si="2"/>
        <v/>
      </c>
      <c r="F71" s="55"/>
      <c r="G71" s="54"/>
      <c r="H71" s="54"/>
      <c r="I71" s="54"/>
      <c r="J71" s="54"/>
      <c r="K71" s="56"/>
      <c r="L71" s="54"/>
    </row>
    <row r="72" spans="5:12" ht="16.2" x14ac:dyDescent="0.4">
      <c r="E72" s="54" t="str">
        <f t="shared" si="2"/>
        <v/>
      </c>
      <c r="F72" s="55"/>
      <c r="G72" s="54"/>
      <c r="H72" s="54"/>
      <c r="I72" s="54"/>
      <c r="J72" s="54"/>
      <c r="K72" s="56"/>
      <c r="L72" s="54"/>
    </row>
    <row r="73" spans="5:12" ht="16.2" x14ac:dyDescent="0.4">
      <c r="E73" s="54" t="str">
        <f t="shared" si="2"/>
        <v/>
      </c>
      <c r="F73" s="55"/>
      <c r="G73" s="54"/>
      <c r="H73" s="54"/>
      <c r="I73" s="54"/>
      <c r="J73" s="54"/>
      <c r="K73" s="56"/>
      <c r="L73" s="54"/>
    </row>
    <row r="74" spans="5:12" ht="16.2" x14ac:dyDescent="0.4">
      <c r="E74" s="54" t="str">
        <f t="shared" si="2"/>
        <v/>
      </c>
      <c r="F74" s="55"/>
      <c r="G74" s="54"/>
      <c r="H74" s="54"/>
      <c r="I74" s="54"/>
      <c r="J74" s="54"/>
      <c r="K74" s="56"/>
      <c r="L74" s="54"/>
    </row>
    <row r="75" spans="5:12" ht="16.2" x14ac:dyDescent="0.4">
      <c r="E75" s="54" t="str">
        <f t="shared" si="2"/>
        <v/>
      </c>
      <c r="F75" s="55"/>
      <c r="G75" s="54"/>
      <c r="H75" s="54"/>
      <c r="I75" s="54"/>
      <c r="J75" s="54"/>
      <c r="K75" s="56"/>
      <c r="L75" s="54"/>
    </row>
    <row r="76" spans="5:12" ht="16.2" x14ac:dyDescent="0.4">
      <c r="E76" s="54" t="str">
        <f t="shared" si="2"/>
        <v/>
      </c>
      <c r="F76" s="55"/>
      <c r="G76" s="54"/>
      <c r="H76" s="54"/>
      <c r="I76" s="54"/>
      <c r="J76" s="54"/>
      <c r="K76" s="56"/>
      <c r="L76" s="54"/>
    </row>
    <row r="77" spans="5:12" ht="16.2" x14ac:dyDescent="0.4">
      <c r="E77" s="54" t="str">
        <f t="shared" si="2"/>
        <v/>
      </c>
      <c r="F77" s="55"/>
      <c r="G77" s="54"/>
      <c r="H77" s="54"/>
      <c r="I77" s="54"/>
      <c r="J77" s="54"/>
      <c r="K77" s="56"/>
      <c r="L77" s="54"/>
    </row>
    <row r="78" spans="5:12" ht="16.2" x14ac:dyDescent="0.4">
      <c r="E78" s="54" t="str">
        <f t="shared" si="2"/>
        <v/>
      </c>
      <c r="F78" s="55"/>
      <c r="G78" s="54"/>
      <c r="H78" s="54"/>
      <c r="I78" s="54"/>
      <c r="J78" s="54"/>
      <c r="K78" s="56"/>
      <c r="L78" s="54"/>
    </row>
    <row r="79" spans="5:12" ht="16.2" x14ac:dyDescent="0.4">
      <c r="E79" s="54" t="str">
        <f t="shared" si="2"/>
        <v/>
      </c>
      <c r="F79" s="55"/>
      <c r="G79" s="54"/>
      <c r="H79" s="54"/>
      <c r="I79" s="54"/>
      <c r="J79" s="54"/>
      <c r="K79" s="56"/>
      <c r="L79" s="54"/>
    </row>
    <row r="80" spans="5:12" ht="16.2" x14ac:dyDescent="0.4">
      <c r="E80" s="54" t="str">
        <f t="shared" si="2"/>
        <v/>
      </c>
      <c r="F80" s="55"/>
      <c r="G80" s="54"/>
      <c r="H80" s="54"/>
      <c r="I80" s="54"/>
      <c r="J80" s="54"/>
      <c r="K80" s="56"/>
      <c r="L80" s="54"/>
    </row>
    <row r="81" spans="5:12" ht="16.2" x14ac:dyDescent="0.4">
      <c r="E81" s="54" t="str">
        <f t="shared" si="2"/>
        <v/>
      </c>
      <c r="F81" s="55"/>
      <c r="G81" s="54"/>
      <c r="H81" s="54"/>
      <c r="I81" s="54"/>
      <c r="J81" s="54"/>
      <c r="K81" s="56"/>
      <c r="L81" s="54"/>
    </row>
    <row r="82" spans="5:12" ht="16.2" x14ac:dyDescent="0.4">
      <c r="E82" s="54" t="str">
        <f t="shared" si="2"/>
        <v/>
      </c>
      <c r="F82" s="55"/>
      <c r="G82" s="54"/>
      <c r="H82" s="54"/>
      <c r="I82" s="54"/>
      <c r="J82" s="54"/>
      <c r="K82" s="56"/>
      <c r="L82" s="54"/>
    </row>
    <row r="83" spans="5:12" ht="16.2" x14ac:dyDescent="0.4">
      <c r="E83" s="54" t="str">
        <f t="shared" si="2"/>
        <v/>
      </c>
      <c r="F83" s="55"/>
      <c r="G83" s="54"/>
      <c r="H83" s="54"/>
      <c r="I83" s="54"/>
      <c r="J83" s="54"/>
      <c r="K83" s="56"/>
      <c r="L83" s="54"/>
    </row>
    <row r="84" spans="5:12" ht="16.2" x14ac:dyDescent="0.4">
      <c r="E84" s="54" t="str">
        <f t="shared" si="2"/>
        <v/>
      </c>
      <c r="F84" s="55"/>
      <c r="G84" s="54"/>
      <c r="H84" s="54"/>
      <c r="I84" s="54"/>
      <c r="J84" s="54"/>
      <c r="K84" s="56"/>
      <c r="L84" s="54"/>
    </row>
    <row r="85" spans="5:12" ht="16.2" x14ac:dyDescent="0.4">
      <c r="E85" s="54" t="str">
        <f t="shared" si="2"/>
        <v/>
      </c>
      <c r="F85" s="55"/>
      <c r="G85" s="54"/>
      <c r="H85" s="54"/>
      <c r="I85" s="54"/>
      <c r="J85" s="54"/>
      <c r="K85" s="56"/>
      <c r="L85" s="54"/>
    </row>
    <row r="86" spans="5:12" ht="16.2" x14ac:dyDescent="0.4">
      <c r="E86" s="54" t="str">
        <f t="shared" si="2"/>
        <v/>
      </c>
      <c r="F86" s="55"/>
      <c r="G86" s="54"/>
      <c r="H86" s="54"/>
      <c r="I86" s="54"/>
      <c r="J86" s="54"/>
      <c r="K86" s="56"/>
      <c r="L86" s="54"/>
    </row>
    <row r="87" spans="5:12" ht="16.2" x14ac:dyDescent="0.4">
      <c r="E87" s="54" t="str">
        <f t="shared" si="2"/>
        <v/>
      </c>
      <c r="F87" s="55"/>
      <c r="G87" s="54"/>
      <c r="H87" s="54"/>
      <c r="I87" s="54"/>
      <c r="J87" s="54"/>
      <c r="K87" s="56"/>
      <c r="L87" s="54"/>
    </row>
    <row r="88" spans="5:12" ht="16.2" x14ac:dyDescent="0.4">
      <c r="E88" s="54" t="str">
        <f t="shared" si="2"/>
        <v/>
      </c>
      <c r="F88" s="55"/>
      <c r="G88" s="54"/>
      <c r="H88" s="54"/>
      <c r="I88" s="54"/>
      <c r="J88" s="54"/>
      <c r="K88" s="56"/>
      <c r="L88" s="54"/>
    </row>
    <row r="89" spans="5:12" ht="16.2" x14ac:dyDescent="0.4">
      <c r="E89" s="54" t="str">
        <f t="shared" si="2"/>
        <v/>
      </c>
      <c r="F89" s="55"/>
      <c r="G89" s="54"/>
      <c r="H89" s="54"/>
      <c r="I89" s="54"/>
      <c r="J89" s="54"/>
      <c r="K89" s="56"/>
      <c r="L89" s="54"/>
    </row>
    <row r="90" spans="5:12" ht="16.2" x14ac:dyDescent="0.4">
      <c r="E90" s="54" t="str">
        <f t="shared" si="2"/>
        <v/>
      </c>
      <c r="F90" s="55"/>
      <c r="G90" s="54"/>
      <c r="H90" s="54"/>
      <c r="I90" s="54"/>
      <c r="J90" s="54"/>
      <c r="K90" s="56"/>
      <c r="L90" s="54"/>
    </row>
    <row r="91" spans="5:12" ht="16.2" x14ac:dyDescent="0.4">
      <c r="E91" s="54" t="str">
        <f t="shared" si="2"/>
        <v/>
      </c>
      <c r="F91" s="55"/>
      <c r="G91" s="54"/>
      <c r="H91" s="54"/>
      <c r="I91" s="54"/>
      <c r="J91" s="54"/>
      <c r="K91" s="56"/>
      <c r="L91" s="54"/>
    </row>
    <row r="92" spans="5:12" ht="16.2" x14ac:dyDescent="0.4">
      <c r="E92" s="54" t="str">
        <f t="shared" si="2"/>
        <v/>
      </c>
      <c r="F92" s="55"/>
      <c r="G92" s="54"/>
      <c r="H92" s="54"/>
      <c r="I92" s="54"/>
      <c r="J92" s="54"/>
      <c r="K92" s="56"/>
      <c r="L92" s="54"/>
    </row>
    <row r="93" spans="5:12" ht="16.2" x14ac:dyDescent="0.4">
      <c r="E93" s="54" t="str">
        <f t="shared" si="2"/>
        <v/>
      </c>
      <c r="F93" s="55"/>
      <c r="G93" s="54"/>
      <c r="H93" s="54"/>
      <c r="I93" s="54"/>
      <c r="J93" s="54"/>
      <c r="K93" s="56"/>
      <c r="L93" s="54"/>
    </row>
    <row r="94" spans="5:12" ht="16.2" x14ac:dyDescent="0.4">
      <c r="E94" s="54" t="str">
        <f t="shared" si="2"/>
        <v/>
      </c>
      <c r="F94" s="55"/>
      <c r="G94" s="54"/>
      <c r="H94" s="54"/>
      <c r="I94" s="54"/>
      <c r="J94" s="54"/>
      <c r="K94" s="56"/>
      <c r="L94" s="54"/>
    </row>
    <row r="95" spans="5:12" ht="16.2" x14ac:dyDescent="0.4">
      <c r="E95" s="54" t="str">
        <f t="shared" si="2"/>
        <v/>
      </c>
      <c r="F95" s="55"/>
      <c r="G95" s="54"/>
      <c r="H95" s="54"/>
      <c r="I95" s="54"/>
      <c r="J95" s="54"/>
      <c r="K95" s="56"/>
      <c r="L95" s="54"/>
    </row>
    <row r="96" spans="5:12" ht="16.2" x14ac:dyDescent="0.4">
      <c r="E96" s="54" t="str">
        <f t="shared" si="2"/>
        <v/>
      </c>
      <c r="F96" s="55"/>
      <c r="G96" s="54"/>
      <c r="H96" s="54"/>
      <c r="I96" s="54"/>
      <c r="J96" s="54"/>
      <c r="K96" s="56"/>
      <c r="L96" s="54"/>
    </row>
    <row r="97" spans="5:12" ht="16.2" x14ac:dyDescent="0.4">
      <c r="E97" s="54" t="str">
        <f t="shared" si="2"/>
        <v/>
      </c>
      <c r="F97" s="55"/>
      <c r="G97" s="54"/>
      <c r="H97" s="54"/>
      <c r="I97" s="54"/>
      <c r="J97" s="54"/>
      <c r="K97" s="56"/>
      <c r="L97" s="54"/>
    </row>
    <row r="98" spans="5:12" ht="16.2" x14ac:dyDescent="0.4">
      <c r="E98" s="54" t="str">
        <f t="shared" si="2"/>
        <v/>
      </c>
      <c r="F98" s="55"/>
      <c r="G98" s="54"/>
      <c r="H98" s="54"/>
      <c r="I98" s="54"/>
      <c r="J98" s="54"/>
      <c r="K98" s="56"/>
      <c r="L98" s="54"/>
    </row>
    <row r="99" spans="5:12" ht="16.2" x14ac:dyDescent="0.4">
      <c r="E99" s="54" t="str">
        <f t="shared" si="2"/>
        <v/>
      </c>
      <c r="F99" s="55"/>
      <c r="G99" s="54"/>
      <c r="H99" s="54"/>
      <c r="I99" s="54"/>
      <c r="J99" s="54"/>
      <c r="K99" s="56"/>
      <c r="L99" s="54"/>
    </row>
    <row r="100" spans="5:12" ht="16.2" x14ac:dyDescent="0.4">
      <c r="E100" s="54" t="str">
        <f t="shared" si="2"/>
        <v/>
      </c>
      <c r="F100" s="55"/>
      <c r="G100" s="54"/>
      <c r="H100" s="54"/>
      <c r="I100" s="54"/>
      <c r="J100" s="54"/>
      <c r="K100" s="56"/>
      <c r="L100" s="54"/>
    </row>
    <row r="101" spans="5:12" ht="16.2" x14ac:dyDescent="0.4">
      <c r="E101" s="54" t="str">
        <f t="shared" si="2"/>
        <v/>
      </c>
      <c r="F101" s="55"/>
      <c r="G101" s="54"/>
      <c r="H101" s="54"/>
      <c r="I101" s="54"/>
      <c r="J101" s="54"/>
      <c r="K101" s="56"/>
      <c r="L101" s="54"/>
    </row>
    <row r="102" spans="5:12" ht="16.2" x14ac:dyDescent="0.4">
      <c r="E102" s="54" t="str">
        <f t="shared" si="2"/>
        <v/>
      </c>
      <c r="F102" s="55"/>
      <c r="G102" s="54"/>
      <c r="H102" s="54"/>
      <c r="I102" s="54"/>
      <c r="J102" s="54"/>
      <c r="K102" s="56"/>
      <c r="L102" s="54"/>
    </row>
    <row r="103" spans="5:12" ht="16.2" x14ac:dyDescent="0.4">
      <c r="E103" s="54" t="str">
        <f t="shared" si="2"/>
        <v/>
      </c>
      <c r="F103" s="55"/>
      <c r="G103" s="54"/>
      <c r="H103" s="54"/>
      <c r="I103" s="54"/>
      <c r="J103" s="54"/>
      <c r="K103" s="56"/>
      <c r="L103" s="54"/>
    </row>
    <row r="104" spans="5:12" ht="16.2" x14ac:dyDescent="0.4">
      <c r="E104" s="54" t="str">
        <f t="shared" si="2"/>
        <v/>
      </c>
      <c r="F104" s="55"/>
      <c r="G104" s="54"/>
      <c r="H104" s="54"/>
      <c r="I104" s="54"/>
      <c r="J104" s="54"/>
      <c r="K104" s="56"/>
      <c r="L104" s="54"/>
    </row>
    <row r="105" spans="5:12" ht="16.2" x14ac:dyDescent="0.4">
      <c r="E105" s="54" t="str">
        <f t="shared" si="2"/>
        <v/>
      </c>
      <c r="F105" s="55"/>
      <c r="G105" s="54"/>
      <c r="H105" s="54"/>
      <c r="I105" s="54"/>
      <c r="J105" s="54"/>
      <c r="K105" s="56"/>
      <c r="L105" s="54"/>
    </row>
    <row r="106" spans="5:12" ht="16.2" x14ac:dyDescent="0.4">
      <c r="E106" s="54" t="str">
        <f t="shared" si="2"/>
        <v/>
      </c>
      <c r="F106" s="55"/>
      <c r="G106" s="54"/>
      <c r="H106" s="54"/>
      <c r="I106" s="54"/>
      <c r="J106" s="54"/>
      <c r="K106" s="56"/>
      <c r="L106" s="54"/>
    </row>
    <row r="107" spans="5:12" ht="16.2" x14ac:dyDescent="0.4">
      <c r="E107" s="54" t="str">
        <f t="shared" si="2"/>
        <v/>
      </c>
      <c r="F107" s="55"/>
      <c r="G107" s="54"/>
      <c r="H107" s="54"/>
      <c r="I107" s="54"/>
      <c r="J107" s="54"/>
      <c r="K107" s="56"/>
      <c r="L107" s="54"/>
    </row>
    <row r="108" spans="5:12" ht="16.2" x14ac:dyDescent="0.4">
      <c r="E108" s="54" t="str">
        <f t="shared" si="2"/>
        <v/>
      </c>
      <c r="F108" s="55"/>
      <c r="G108" s="54"/>
      <c r="H108" s="54"/>
      <c r="I108" s="54"/>
      <c r="J108" s="54"/>
      <c r="K108" s="56"/>
      <c r="L108" s="54"/>
    </row>
    <row r="109" spans="5:12" ht="16.2" x14ac:dyDescent="0.4">
      <c r="E109" s="54" t="str">
        <f t="shared" si="2"/>
        <v/>
      </c>
      <c r="F109" s="55"/>
      <c r="G109" s="54"/>
      <c r="H109" s="54"/>
      <c r="I109" s="54"/>
      <c r="J109" s="54"/>
      <c r="K109" s="56"/>
      <c r="L109" s="54"/>
    </row>
    <row r="110" spans="5:12" ht="16.2" x14ac:dyDescent="0.4">
      <c r="E110" s="54" t="str">
        <f t="shared" si="2"/>
        <v/>
      </c>
      <c r="F110" s="55"/>
      <c r="G110" s="54"/>
      <c r="H110" s="54"/>
      <c r="I110" s="54"/>
      <c r="J110" s="54"/>
      <c r="K110" s="56"/>
      <c r="L110" s="54"/>
    </row>
    <row r="111" spans="5:12" ht="16.2" x14ac:dyDescent="0.4">
      <c r="E111" s="54" t="str">
        <f t="shared" si="2"/>
        <v/>
      </c>
      <c r="F111" s="55"/>
      <c r="G111" s="54"/>
      <c r="H111" s="54"/>
      <c r="I111" s="54"/>
      <c r="J111" s="54"/>
      <c r="K111" s="56"/>
      <c r="L111" s="54"/>
    </row>
    <row r="112" spans="5:12" ht="16.2" x14ac:dyDescent="0.4">
      <c r="E112" s="54" t="str">
        <f t="shared" si="2"/>
        <v/>
      </c>
      <c r="F112" s="55"/>
      <c r="G112" s="54"/>
      <c r="H112" s="54"/>
      <c r="I112" s="54"/>
      <c r="J112" s="54"/>
      <c r="K112" s="56"/>
      <c r="L112" s="54"/>
    </row>
    <row r="113" spans="5:12" ht="16.2" x14ac:dyDescent="0.4">
      <c r="E113" s="54" t="str">
        <f t="shared" si="2"/>
        <v/>
      </c>
      <c r="F113" s="55"/>
      <c r="G113" s="54"/>
      <c r="H113" s="54"/>
      <c r="I113" s="54"/>
      <c r="J113" s="54"/>
      <c r="K113" s="56"/>
      <c r="L113" s="54"/>
    </row>
    <row r="114" spans="5:12" ht="16.2" x14ac:dyDescent="0.4">
      <c r="E114" s="54" t="str">
        <f t="shared" si="2"/>
        <v/>
      </c>
      <c r="F114" s="55"/>
      <c r="G114" s="54"/>
      <c r="H114" s="54"/>
      <c r="I114" s="54"/>
      <c r="J114" s="54"/>
      <c r="K114" s="56"/>
      <c r="L114" s="54"/>
    </row>
    <row r="115" spans="5:12" ht="16.2" x14ac:dyDescent="0.4">
      <c r="E115" s="54" t="str">
        <f t="shared" si="2"/>
        <v/>
      </c>
      <c r="F115" s="55"/>
      <c r="G115" s="54"/>
      <c r="H115" s="54"/>
      <c r="I115" s="54"/>
      <c r="J115" s="54"/>
      <c r="K115" s="56"/>
      <c r="L115" s="54"/>
    </row>
    <row r="116" spans="5:12" ht="16.2" x14ac:dyDescent="0.4">
      <c r="E116" s="54" t="str">
        <f t="shared" si="2"/>
        <v/>
      </c>
      <c r="F116" s="55"/>
      <c r="G116" s="54"/>
      <c r="H116" s="54"/>
      <c r="I116" s="54"/>
      <c r="J116" s="54"/>
      <c r="K116" s="56"/>
      <c r="L116" s="54"/>
    </row>
    <row r="117" spans="5:12" ht="16.2" x14ac:dyDescent="0.4">
      <c r="E117" s="54" t="str">
        <f t="shared" si="2"/>
        <v/>
      </c>
      <c r="F117" s="55"/>
      <c r="G117" s="54"/>
      <c r="H117" s="54"/>
      <c r="I117" s="54"/>
      <c r="J117" s="54"/>
      <c r="K117" s="56"/>
      <c r="L117" s="54"/>
    </row>
    <row r="118" spans="5:12" ht="16.2" x14ac:dyDescent="0.4">
      <c r="E118" s="54" t="str">
        <f t="shared" si="2"/>
        <v/>
      </c>
      <c r="F118" s="55"/>
      <c r="G118" s="54"/>
      <c r="H118" s="54"/>
      <c r="I118" s="54"/>
      <c r="J118" s="54"/>
      <c r="K118" s="56"/>
      <c r="L118" s="54"/>
    </row>
    <row r="119" spans="5:12" ht="16.2" x14ac:dyDescent="0.4">
      <c r="E119" s="54" t="str">
        <f t="shared" si="2"/>
        <v/>
      </c>
      <c r="F119" s="55"/>
      <c r="G119" s="54"/>
      <c r="H119" s="54"/>
      <c r="I119" s="54"/>
      <c r="J119" s="54"/>
      <c r="K119" s="56"/>
      <c r="L119" s="54"/>
    </row>
    <row r="120" spans="5:12" ht="16.2" x14ac:dyDescent="0.4">
      <c r="E120" s="54" t="str">
        <f t="shared" si="2"/>
        <v/>
      </c>
      <c r="F120" s="55"/>
      <c r="G120" s="54"/>
      <c r="H120" s="54"/>
      <c r="I120" s="54"/>
      <c r="J120" s="54"/>
      <c r="K120" s="56"/>
      <c r="L120" s="54"/>
    </row>
    <row r="121" spans="5:12" ht="16.2" x14ac:dyDescent="0.4">
      <c r="E121" s="54" t="str">
        <f t="shared" si="2"/>
        <v/>
      </c>
      <c r="F121" s="55"/>
      <c r="G121" s="54"/>
      <c r="H121" s="54"/>
      <c r="I121" s="54"/>
      <c r="J121" s="54"/>
      <c r="K121" s="56"/>
      <c r="L121" s="54"/>
    </row>
    <row r="122" spans="5:12" ht="16.2" x14ac:dyDescent="0.4">
      <c r="E122" s="54" t="str">
        <f t="shared" si="2"/>
        <v/>
      </c>
      <c r="F122" s="55"/>
      <c r="G122" s="54"/>
      <c r="H122" s="54"/>
      <c r="I122" s="54"/>
      <c r="J122" s="54"/>
      <c r="K122" s="56"/>
      <c r="L122" s="54"/>
    </row>
    <row r="123" spans="5:12" ht="16.2" x14ac:dyDescent="0.4">
      <c r="E123" s="54" t="str">
        <f t="shared" si="2"/>
        <v/>
      </c>
      <c r="F123" s="55"/>
      <c r="G123" s="54"/>
      <c r="H123" s="54"/>
      <c r="I123" s="54"/>
      <c r="J123" s="54"/>
      <c r="K123" s="56"/>
      <c r="L123" s="54"/>
    </row>
    <row r="124" spans="5:12" ht="16.2" x14ac:dyDescent="0.4">
      <c r="E124" s="54" t="str">
        <f t="shared" si="2"/>
        <v/>
      </c>
      <c r="F124" s="55"/>
      <c r="G124" s="54"/>
      <c r="H124" s="54"/>
      <c r="I124" s="54"/>
      <c r="J124" s="54"/>
      <c r="K124" s="56"/>
      <c r="L124" s="54"/>
    </row>
    <row r="125" spans="5:12" ht="16.2" x14ac:dyDescent="0.4">
      <c r="E125" s="54" t="str">
        <f t="shared" si="2"/>
        <v/>
      </c>
      <c r="F125" s="55"/>
      <c r="G125" s="54"/>
      <c r="H125" s="54"/>
      <c r="I125" s="54"/>
      <c r="J125" s="54"/>
      <c r="K125" s="56"/>
      <c r="L125" s="54"/>
    </row>
    <row r="126" spans="5:12" ht="16.2" x14ac:dyDescent="0.4">
      <c r="E126" s="54" t="str">
        <f t="shared" si="2"/>
        <v/>
      </c>
      <c r="F126" s="55"/>
      <c r="G126" s="54"/>
      <c r="H126" s="54"/>
      <c r="I126" s="54"/>
      <c r="J126" s="54"/>
      <c r="K126" s="56"/>
      <c r="L126" s="54"/>
    </row>
    <row r="127" spans="5:12" ht="16.2" x14ac:dyDescent="0.4">
      <c r="E127" s="54" t="str">
        <f t="shared" si="2"/>
        <v/>
      </c>
      <c r="F127" s="55"/>
      <c r="G127" s="54"/>
      <c r="H127" s="54"/>
      <c r="I127" s="54"/>
      <c r="J127" s="54"/>
      <c r="K127" s="56"/>
      <c r="L127" s="54"/>
    </row>
    <row r="128" spans="5:12" ht="16.2" x14ac:dyDescent="0.4">
      <c r="E128" s="54" t="str">
        <f t="shared" si="2"/>
        <v/>
      </c>
      <c r="F128" s="55"/>
      <c r="G128" s="54"/>
      <c r="H128" s="54"/>
      <c r="I128" s="54"/>
      <c r="J128" s="54"/>
      <c r="K128" s="56"/>
      <c r="L128" s="54"/>
    </row>
    <row r="129" spans="5:12" ht="16.2" x14ac:dyDescent="0.4">
      <c r="E129" s="54" t="str">
        <f t="shared" si="2"/>
        <v/>
      </c>
      <c r="F129" s="55"/>
      <c r="G129" s="54"/>
      <c r="H129" s="54"/>
      <c r="I129" s="54"/>
      <c r="J129" s="54"/>
      <c r="K129" s="56"/>
      <c r="L129" s="54"/>
    </row>
    <row r="130" spans="5:12" ht="16.2" x14ac:dyDescent="0.4">
      <c r="E130" s="54" t="str">
        <f t="shared" si="2"/>
        <v/>
      </c>
      <c r="F130" s="55"/>
      <c r="G130" s="54"/>
      <c r="H130" s="54"/>
      <c r="I130" s="54"/>
      <c r="J130" s="54"/>
      <c r="K130" s="56"/>
      <c r="L130" s="54"/>
    </row>
    <row r="131" spans="5:12" ht="16.2" x14ac:dyDescent="0.4">
      <c r="E131" s="54" t="str">
        <f t="shared" si="2"/>
        <v/>
      </c>
      <c r="F131" s="55"/>
      <c r="G131" s="54"/>
      <c r="H131" s="54"/>
      <c r="I131" s="54"/>
      <c r="J131" s="54"/>
      <c r="K131" s="56"/>
      <c r="L131" s="54"/>
    </row>
    <row r="132" spans="5:12" ht="16.2" x14ac:dyDescent="0.4">
      <c r="E132" s="54" t="str">
        <f t="shared" si="2"/>
        <v/>
      </c>
      <c r="F132" s="55"/>
      <c r="G132" s="54"/>
      <c r="H132" s="54"/>
      <c r="I132" s="54"/>
      <c r="J132" s="54"/>
      <c r="K132" s="56"/>
      <c r="L132" s="54"/>
    </row>
    <row r="133" spans="5:12" ht="16.2" x14ac:dyDescent="0.4">
      <c r="E133" s="54" t="str">
        <f t="shared" ref="E133:E185" si="3">IF(ISBLANK(F133),"",F133-F132)</f>
        <v/>
      </c>
      <c r="F133" s="55"/>
      <c r="G133" s="54"/>
      <c r="H133" s="54"/>
      <c r="I133" s="54"/>
      <c r="J133" s="54"/>
      <c r="K133" s="56"/>
      <c r="L133" s="54"/>
    </row>
    <row r="134" spans="5:12" ht="16.2" x14ac:dyDescent="0.4">
      <c r="E134" s="54" t="str">
        <f t="shared" si="3"/>
        <v/>
      </c>
      <c r="F134" s="55"/>
      <c r="G134" s="54"/>
      <c r="H134" s="54"/>
      <c r="I134" s="54"/>
      <c r="J134" s="54"/>
      <c r="K134" s="56"/>
      <c r="L134" s="54"/>
    </row>
    <row r="135" spans="5:12" ht="16.2" x14ac:dyDescent="0.4">
      <c r="E135" s="54" t="str">
        <f t="shared" si="3"/>
        <v/>
      </c>
      <c r="F135" s="55"/>
      <c r="G135" s="54"/>
      <c r="H135" s="54"/>
      <c r="I135" s="54"/>
      <c r="J135" s="54"/>
      <c r="K135" s="56"/>
      <c r="L135" s="54"/>
    </row>
    <row r="136" spans="5:12" ht="16.2" x14ac:dyDescent="0.4">
      <c r="E136" s="54" t="str">
        <f t="shared" si="3"/>
        <v/>
      </c>
      <c r="F136" s="55"/>
      <c r="G136" s="54"/>
      <c r="H136" s="54"/>
      <c r="I136" s="54"/>
      <c r="J136" s="54"/>
      <c r="K136" s="56"/>
      <c r="L136" s="54"/>
    </row>
    <row r="137" spans="5:12" ht="16.2" x14ac:dyDescent="0.4">
      <c r="E137" s="54" t="str">
        <f t="shared" si="3"/>
        <v/>
      </c>
      <c r="F137" s="55"/>
      <c r="G137" s="54"/>
      <c r="H137" s="54"/>
      <c r="I137" s="54"/>
      <c r="J137" s="54"/>
      <c r="K137" s="56"/>
      <c r="L137" s="54"/>
    </row>
    <row r="138" spans="5:12" ht="16.2" x14ac:dyDescent="0.4">
      <c r="E138" s="54" t="str">
        <f t="shared" si="3"/>
        <v/>
      </c>
      <c r="F138" s="55"/>
      <c r="G138" s="54"/>
      <c r="H138" s="54"/>
      <c r="I138" s="54"/>
      <c r="J138" s="54"/>
      <c r="K138" s="56"/>
      <c r="L138" s="54"/>
    </row>
    <row r="139" spans="5:12" ht="16.2" x14ac:dyDescent="0.4">
      <c r="E139" s="54" t="str">
        <f t="shared" si="3"/>
        <v/>
      </c>
      <c r="F139" s="55"/>
      <c r="G139" s="54"/>
      <c r="H139" s="54"/>
      <c r="I139" s="54"/>
      <c r="J139" s="54"/>
      <c r="K139" s="56"/>
      <c r="L139" s="54"/>
    </row>
    <row r="140" spans="5:12" ht="16.2" x14ac:dyDescent="0.4">
      <c r="E140" s="54" t="str">
        <f t="shared" si="3"/>
        <v/>
      </c>
      <c r="F140" s="55"/>
      <c r="G140" s="54"/>
      <c r="H140" s="54"/>
      <c r="I140" s="54"/>
      <c r="J140" s="54"/>
      <c r="K140" s="56"/>
      <c r="L140" s="54"/>
    </row>
    <row r="141" spans="5:12" ht="16.2" x14ac:dyDescent="0.4">
      <c r="E141" s="54" t="str">
        <f t="shared" si="3"/>
        <v/>
      </c>
      <c r="F141" s="55"/>
      <c r="G141" s="54"/>
      <c r="H141" s="54"/>
      <c r="I141" s="54"/>
      <c r="J141" s="54"/>
      <c r="K141" s="56"/>
      <c r="L141" s="54"/>
    </row>
    <row r="142" spans="5:12" ht="16.2" x14ac:dyDescent="0.4">
      <c r="E142" s="54" t="str">
        <f t="shared" si="3"/>
        <v/>
      </c>
      <c r="F142" s="55"/>
      <c r="G142" s="54"/>
      <c r="H142" s="54"/>
      <c r="I142" s="54"/>
      <c r="J142" s="54"/>
      <c r="K142" s="56"/>
      <c r="L142" s="54"/>
    </row>
    <row r="143" spans="5:12" ht="16.2" x14ac:dyDescent="0.4">
      <c r="E143" s="54" t="str">
        <f t="shared" si="3"/>
        <v/>
      </c>
      <c r="F143" s="55"/>
      <c r="G143" s="54"/>
      <c r="H143" s="54"/>
      <c r="I143" s="54"/>
      <c r="J143" s="54"/>
      <c r="K143" s="56"/>
      <c r="L143" s="54"/>
    </row>
    <row r="144" spans="5:12" ht="16.2" x14ac:dyDescent="0.4">
      <c r="E144" s="54" t="str">
        <f t="shared" si="3"/>
        <v/>
      </c>
      <c r="F144" s="55"/>
      <c r="G144" s="54"/>
      <c r="H144" s="54"/>
      <c r="I144" s="54"/>
      <c r="J144" s="54"/>
      <c r="K144" s="56"/>
      <c r="L144" s="54"/>
    </row>
    <row r="145" spans="5:12" ht="16.2" x14ac:dyDescent="0.4">
      <c r="E145" s="54" t="str">
        <f t="shared" si="3"/>
        <v/>
      </c>
      <c r="F145" s="55"/>
      <c r="G145" s="54"/>
      <c r="H145" s="54"/>
      <c r="I145" s="54"/>
      <c r="J145" s="54"/>
      <c r="K145" s="56"/>
      <c r="L145" s="54"/>
    </row>
    <row r="146" spans="5:12" ht="16.2" x14ac:dyDescent="0.4">
      <c r="E146" s="54" t="str">
        <f t="shared" si="3"/>
        <v/>
      </c>
      <c r="F146" s="55"/>
      <c r="G146" s="54"/>
      <c r="H146" s="54"/>
      <c r="I146" s="54"/>
      <c r="J146" s="54"/>
      <c r="K146" s="56"/>
      <c r="L146" s="54"/>
    </row>
    <row r="147" spans="5:12" ht="16.2" x14ac:dyDescent="0.4">
      <c r="E147" s="54" t="str">
        <f t="shared" si="3"/>
        <v/>
      </c>
      <c r="F147" s="55"/>
      <c r="G147" s="54"/>
      <c r="H147" s="54"/>
      <c r="I147" s="54"/>
      <c r="J147" s="54"/>
      <c r="K147" s="56"/>
      <c r="L147" s="54"/>
    </row>
    <row r="148" spans="5:12" ht="16.2" x14ac:dyDescent="0.4">
      <c r="E148" s="54" t="str">
        <f t="shared" si="3"/>
        <v/>
      </c>
      <c r="F148" s="55"/>
      <c r="G148" s="54"/>
      <c r="H148" s="54"/>
      <c r="I148" s="54"/>
      <c r="J148" s="54"/>
      <c r="K148" s="56"/>
      <c r="L148" s="54"/>
    </row>
    <row r="149" spans="5:12" ht="16.2" x14ac:dyDescent="0.4">
      <c r="E149" s="54" t="str">
        <f t="shared" si="3"/>
        <v/>
      </c>
      <c r="F149" s="55"/>
      <c r="G149" s="54"/>
      <c r="H149" s="54"/>
      <c r="I149" s="54"/>
      <c r="J149" s="54"/>
      <c r="K149" s="56"/>
      <c r="L149" s="54"/>
    </row>
    <row r="150" spans="5:12" ht="16.2" x14ac:dyDescent="0.4">
      <c r="E150" s="54" t="str">
        <f t="shared" si="3"/>
        <v/>
      </c>
      <c r="F150" s="55"/>
      <c r="G150" s="54"/>
      <c r="H150" s="54"/>
      <c r="I150" s="54"/>
      <c r="J150" s="54"/>
      <c r="K150" s="56"/>
      <c r="L150" s="54"/>
    </row>
    <row r="151" spans="5:12" ht="16.2" x14ac:dyDescent="0.4">
      <c r="E151" s="54" t="str">
        <f t="shared" si="3"/>
        <v/>
      </c>
      <c r="F151" s="55"/>
      <c r="G151" s="54"/>
      <c r="H151" s="54"/>
      <c r="I151" s="54"/>
      <c r="J151" s="54"/>
      <c r="K151" s="56"/>
      <c r="L151" s="54"/>
    </row>
    <row r="152" spans="5:12" ht="16.2" x14ac:dyDescent="0.4">
      <c r="E152" s="54" t="str">
        <f t="shared" si="3"/>
        <v/>
      </c>
      <c r="F152" s="55"/>
      <c r="G152" s="54"/>
      <c r="H152" s="54"/>
      <c r="I152" s="54"/>
      <c r="J152" s="54"/>
      <c r="K152" s="56"/>
      <c r="L152" s="54"/>
    </row>
    <row r="153" spans="5:12" ht="16.2" x14ac:dyDescent="0.4">
      <c r="E153" s="54" t="str">
        <f t="shared" si="3"/>
        <v/>
      </c>
      <c r="F153" s="55"/>
      <c r="G153" s="54"/>
      <c r="H153" s="54"/>
      <c r="I153" s="54"/>
      <c r="J153" s="54"/>
      <c r="K153" s="56"/>
      <c r="L153" s="54"/>
    </row>
    <row r="154" spans="5:12" ht="16.2" x14ac:dyDescent="0.4">
      <c r="E154" s="54" t="str">
        <f t="shared" si="3"/>
        <v/>
      </c>
      <c r="F154" s="55"/>
      <c r="G154" s="54"/>
      <c r="H154" s="54"/>
      <c r="I154" s="54"/>
      <c r="J154" s="54"/>
      <c r="K154" s="56"/>
      <c r="L154" s="54"/>
    </row>
    <row r="155" spans="5:12" ht="16.2" x14ac:dyDescent="0.4">
      <c r="E155" s="54" t="str">
        <f t="shared" si="3"/>
        <v/>
      </c>
      <c r="F155" s="55"/>
      <c r="G155" s="54"/>
      <c r="H155" s="54"/>
      <c r="I155" s="54"/>
      <c r="J155" s="54"/>
      <c r="K155" s="56"/>
      <c r="L155" s="54"/>
    </row>
    <row r="156" spans="5:12" ht="16.2" x14ac:dyDescent="0.4">
      <c r="E156" s="54" t="str">
        <f t="shared" si="3"/>
        <v/>
      </c>
      <c r="F156" s="55"/>
      <c r="G156" s="54"/>
      <c r="H156" s="54"/>
      <c r="I156" s="54"/>
      <c r="J156" s="54"/>
      <c r="K156" s="56"/>
      <c r="L156" s="54"/>
    </row>
    <row r="157" spans="5:12" ht="16.2" x14ac:dyDescent="0.4">
      <c r="E157" s="54" t="str">
        <f t="shared" si="3"/>
        <v/>
      </c>
      <c r="F157" s="55"/>
      <c r="G157" s="54"/>
      <c r="H157" s="54"/>
      <c r="I157" s="54"/>
      <c r="J157" s="54"/>
      <c r="K157" s="56"/>
      <c r="L157" s="54"/>
    </row>
    <row r="158" spans="5:12" ht="16.2" x14ac:dyDescent="0.4">
      <c r="E158" s="54" t="str">
        <f t="shared" si="3"/>
        <v/>
      </c>
      <c r="F158" s="55"/>
      <c r="G158" s="54"/>
      <c r="H158" s="54"/>
      <c r="I158" s="54"/>
      <c r="J158" s="54"/>
      <c r="K158" s="56"/>
      <c r="L158" s="54"/>
    </row>
    <row r="159" spans="5:12" ht="16.2" x14ac:dyDescent="0.4">
      <c r="E159" s="54" t="str">
        <f t="shared" si="3"/>
        <v/>
      </c>
      <c r="F159" s="55"/>
      <c r="G159" s="54"/>
      <c r="H159" s="54"/>
      <c r="I159" s="54"/>
      <c r="J159" s="54"/>
      <c r="K159" s="56"/>
      <c r="L159" s="54"/>
    </row>
    <row r="160" spans="5:12" ht="16.2" x14ac:dyDescent="0.4">
      <c r="E160" s="54" t="str">
        <f t="shared" si="3"/>
        <v/>
      </c>
      <c r="F160" s="55"/>
      <c r="G160" s="54"/>
      <c r="H160" s="54"/>
      <c r="I160" s="54"/>
      <c r="J160" s="54"/>
      <c r="K160" s="56"/>
      <c r="L160" s="54"/>
    </row>
    <row r="161" spans="5:12" ht="16.2" x14ac:dyDescent="0.4">
      <c r="E161" s="54" t="str">
        <f t="shared" si="3"/>
        <v/>
      </c>
      <c r="F161" s="55"/>
      <c r="G161" s="54"/>
      <c r="H161" s="54"/>
      <c r="I161" s="54"/>
      <c r="J161" s="54"/>
      <c r="K161" s="56"/>
      <c r="L161" s="54"/>
    </row>
    <row r="162" spans="5:12" ht="16.2" x14ac:dyDescent="0.4">
      <c r="E162" s="54" t="str">
        <f t="shared" si="3"/>
        <v/>
      </c>
      <c r="F162" s="55"/>
      <c r="G162" s="54"/>
      <c r="H162" s="54"/>
      <c r="I162" s="54"/>
      <c r="J162" s="54"/>
      <c r="K162" s="56"/>
      <c r="L162" s="54"/>
    </row>
    <row r="163" spans="5:12" ht="16.2" x14ac:dyDescent="0.4">
      <c r="E163" s="54" t="str">
        <f t="shared" si="3"/>
        <v/>
      </c>
      <c r="F163" s="55"/>
      <c r="G163" s="54"/>
      <c r="H163" s="54"/>
      <c r="I163" s="54"/>
      <c r="J163" s="54"/>
      <c r="K163" s="56"/>
      <c r="L163" s="54"/>
    </row>
    <row r="164" spans="5:12" ht="16.2" x14ac:dyDescent="0.4">
      <c r="E164" s="54" t="str">
        <f t="shared" si="3"/>
        <v/>
      </c>
      <c r="F164" s="55"/>
      <c r="G164" s="54"/>
      <c r="H164" s="54"/>
      <c r="I164" s="54"/>
      <c r="J164" s="54"/>
      <c r="K164" s="56"/>
      <c r="L164" s="54"/>
    </row>
    <row r="165" spans="5:12" ht="16.2" x14ac:dyDescent="0.4">
      <c r="E165" s="54" t="str">
        <f t="shared" si="3"/>
        <v/>
      </c>
      <c r="F165" s="55"/>
      <c r="G165" s="54"/>
      <c r="H165" s="54"/>
      <c r="I165" s="54"/>
      <c r="J165" s="54"/>
      <c r="K165" s="56"/>
      <c r="L165" s="54"/>
    </row>
    <row r="166" spans="5:12" ht="16.2" x14ac:dyDescent="0.4">
      <c r="E166" s="54" t="str">
        <f t="shared" si="3"/>
        <v/>
      </c>
      <c r="F166" s="55"/>
      <c r="G166" s="54"/>
      <c r="H166" s="54"/>
      <c r="I166" s="54"/>
      <c r="J166" s="54"/>
      <c r="K166" s="56"/>
      <c r="L166" s="54"/>
    </row>
    <row r="167" spans="5:12" ht="16.2" x14ac:dyDescent="0.4">
      <c r="E167" s="54" t="str">
        <f t="shared" si="3"/>
        <v/>
      </c>
      <c r="F167" s="55"/>
      <c r="G167" s="54"/>
      <c r="H167" s="54"/>
      <c r="I167" s="54"/>
      <c r="J167" s="54"/>
      <c r="K167" s="56"/>
      <c r="L167" s="54"/>
    </row>
    <row r="168" spans="5:12" ht="16.2" x14ac:dyDescent="0.4">
      <c r="E168" s="54" t="str">
        <f t="shared" si="3"/>
        <v/>
      </c>
      <c r="F168" s="55"/>
      <c r="G168" s="54"/>
      <c r="H168" s="54"/>
      <c r="I168" s="54"/>
      <c r="J168" s="54"/>
      <c r="K168" s="56"/>
      <c r="L168" s="54"/>
    </row>
    <row r="169" spans="5:12" ht="16.2" x14ac:dyDescent="0.4">
      <c r="E169" s="54" t="str">
        <f t="shared" si="3"/>
        <v/>
      </c>
      <c r="F169" s="55"/>
      <c r="G169" s="54"/>
      <c r="H169" s="54"/>
      <c r="I169" s="54"/>
      <c r="J169" s="54"/>
      <c r="K169" s="56"/>
      <c r="L169" s="54"/>
    </row>
    <row r="170" spans="5:12" ht="16.2" x14ac:dyDescent="0.4">
      <c r="E170" s="54" t="str">
        <f t="shared" si="3"/>
        <v/>
      </c>
      <c r="F170" s="55"/>
      <c r="G170" s="54"/>
      <c r="H170" s="54"/>
      <c r="I170" s="54"/>
      <c r="J170" s="54"/>
      <c r="K170" s="56"/>
      <c r="L170" s="54"/>
    </row>
    <row r="171" spans="5:12" ht="16.2" x14ac:dyDescent="0.4">
      <c r="E171" s="54" t="str">
        <f t="shared" si="3"/>
        <v/>
      </c>
      <c r="F171" s="55"/>
      <c r="G171" s="54"/>
      <c r="H171" s="54"/>
      <c r="I171" s="54"/>
      <c r="J171" s="54"/>
      <c r="K171" s="56"/>
      <c r="L171" s="54"/>
    </row>
    <row r="172" spans="5:12" ht="16.2" x14ac:dyDescent="0.4">
      <c r="E172" s="54" t="str">
        <f t="shared" si="3"/>
        <v/>
      </c>
      <c r="F172" s="55"/>
      <c r="G172" s="54"/>
      <c r="H172" s="54"/>
      <c r="I172" s="54"/>
      <c r="J172" s="54"/>
      <c r="K172" s="56"/>
      <c r="L172" s="54"/>
    </row>
    <row r="173" spans="5:12" ht="16.2" x14ac:dyDescent="0.4">
      <c r="E173" s="54" t="str">
        <f t="shared" si="3"/>
        <v/>
      </c>
      <c r="F173" s="55"/>
      <c r="G173" s="54"/>
      <c r="H173" s="54"/>
      <c r="I173" s="54"/>
      <c r="J173" s="54"/>
      <c r="K173" s="56"/>
      <c r="L173" s="54"/>
    </row>
    <row r="174" spans="5:12" ht="16.2" x14ac:dyDescent="0.4">
      <c r="E174" s="54" t="str">
        <f t="shared" si="3"/>
        <v/>
      </c>
      <c r="F174" s="55"/>
      <c r="G174" s="54"/>
      <c r="H174" s="54"/>
      <c r="I174" s="54"/>
      <c r="J174" s="54"/>
      <c r="K174" s="56"/>
      <c r="L174" s="54"/>
    </row>
    <row r="175" spans="5:12" ht="16.2" x14ac:dyDescent="0.4">
      <c r="E175" s="54" t="str">
        <f t="shared" si="3"/>
        <v/>
      </c>
      <c r="F175" s="55"/>
      <c r="G175" s="54"/>
      <c r="H175" s="54"/>
      <c r="I175" s="54"/>
      <c r="J175" s="54"/>
      <c r="K175" s="56"/>
      <c r="L175" s="54"/>
    </row>
    <row r="176" spans="5:12" ht="16.2" x14ac:dyDescent="0.4">
      <c r="E176" s="54" t="str">
        <f t="shared" si="3"/>
        <v/>
      </c>
      <c r="F176" s="55"/>
      <c r="G176" s="54"/>
      <c r="H176" s="54"/>
      <c r="I176" s="54"/>
      <c r="J176" s="54"/>
      <c r="K176" s="56"/>
      <c r="L176" s="54"/>
    </row>
    <row r="177" spans="5:12" ht="16.2" x14ac:dyDescent="0.4">
      <c r="E177" s="54" t="str">
        <f t="shared" si="3"/>
        <v/>
      </c>
      <c r="F177" s="55"/>
      <c r="G177" s="54"/>
      <c r="H177" s="54"/>
      <c r="I177" s="54"/>
      <c r="J177" s="54"/>
      <c r="K177" s="56"/>
      <c r="L177" s="54"/>
    </row>
    <row r="178" spans="5:12" ht="16.2" x14ac:dyDescent="0.4">
      <c r="E178" s="54" t="str">
        <f t="shared" si="3"/>
        <v/>
      </c>
      <c r="F178" s="55"/>
      <c r="G178" s="54"/>
      <c r="H178" s="54"/>
      <c r="I178" s="54"/>
      <c r="J178" s="54"/>
      <c r="K178" s="56"/>
      <c r="L178" s="54"/>
    </row>
    <row r="179" spans="5:12" ht="16.2" x14ac:dyDescent="0.4">
      <c r="E179" s="54" t="str">
        <f t="shared" si="3"/>
        <v/>
      </c>
      <c r="F179" s="55"/>
      <c r="G179" s="54"/>
      <c r="H179" s="54"/>
      <c r="I179" s="54"/>
      <c r="J179" s="54"/>
      <c r="K179" s="56"/>
      <c r="L179" s="54"/>
    </row>
    <row r="180" spans="5:12" ht="16.2" x14ac:dyDescent="0.4">
      <c r="E180" s="54" t="str">
        <f t="shared" si="3"/>
        <v/>
      </c>
      <c r="F180" s="55"/>
      <c r="G180" s="54"/>
      <c r="H180" s="54"/>
      <c r="I180" s="54"/>
      <c r="J180" s="54"/>
      <c r="K180" s="56"/>
      <c r="L180" s="54"/>
    </row>
    <row r="181" spans="5:12" ht="16.2" x14ac:dyDescent="0.4">
      <c r="E181" s="54" t="str">
        <f t="shared" si="3"/>
        <v/>
      </c>
      <c r="F181" s="55"/>
      <c r="G181" s="54"/>
      <c r="H181" s="54"/>
      <c r="I181" s="54"/>
      <c r="J181" s="54"/>
      <c r="K181" s="56"/>
      <c r="L181" s="54"/>
    </row>
    <row r="182" spans="5:12" ht="16.2" x14ac:dyDescent="0.4">
      <c r="E182" s="54" t="str">
        <f t="shared" si="3"/>
        <v/>
      </c>
      <c r="F182" s="55"/>
      <c r="G182" s="54"/>
      <c r="H182" s="54"/>
      <c r="I182" s="54"/>
      <c r="J182" s="54"/>
      <c r="K182" s="56"/>
      <c r="L182" s="54"/>
    </row>
    <row r="183" spans="5:12" ht="16.2" x14ac:dyDescent="0.4">
      <c r="E183" s="54" t="str">
        <f t="shared" si="3"/>
        <v/>
      </c>
      <c r="F183" s="55"/>
      <c r="G183" s="54"/>
      <c r="H183" s="54"/>
      <c r="I183" s="54"/>
      <c r="J183" s="54"/>
      <c r="K183" s="56"/>
      <c r="L183" s="54"/>
    </row>
    <row r="184" spans="5:12" ht="16.2" x14ac:dyDescent="0.4">
      <c r="E184" s="54" t="str">
        <f t="shared" si="3"/>
        <v/>
      </c>
      <c r="F184" s="55"/>
      <c r="G184" s="54"/>
      <c r="H184" s="54"/>
      <c r="I184" s="54"/>
      <c r="J184" s="54"/>
      <c r="K184" s="56"/>
      <c r="L184" s="54"/>
    </row>
    <row r="185" spans="5:12" ht="16.2" x14ac:dyDescent="0.4">
      <c r="E185" s="54" t="str">
        <f t="shared" si="3"/>
        <v/>
      </c>
      <c r="F185" s="55"/>
      <c r="G185" s="54"/>
      <c r="H185" s="54"/>
      <c r="I185" s="54"/>
      <c r="J185" s="54"/>
      <c r="K185" s="56"/>
      <c r="L185" s="54"/>
    </row>
    <row r="201" spans="2:9" x14ac:dyDescent="0.3">
      <c r="B201" s="92">
        <f>IF(ISBLANK(#REF!),"",C201-F185)</f>
        <v>0</v>
      </c>
      <c r="C201" s="93"/>
      <c r="D201" s="92"/>
      <c r="E201" s="92"/>
      <c r="F201" s="92"/>
      <c r="G201" s="92"/>
      <c r="H201" s="94"/>
      <c r="I201" s="92"/>
    </row>
    <row r="202" spans="2:9" x14ac:dyDescent="0.3">
      <c r="B202" s="92">
        <f>IF(ISBLANK(#REF!),"",C202-C201)</f>
        <v>0</v>
      </c>
      <c r="C202" s="93"/>
      <c r="D202" s="92"/>
      <c r="E202" s="92"/>
      <c r="F202" s="92"/>
      <c r="G202" s="92"/>
      <c r="H202" s="94"/>
      <c r="I202" s="92"/>
    </row>
  </sheetData>
  <dataValidations count="1">
    <dataValidation type="list" allowBlank="1" showInputMessage="1" showErrorMessage="1" sqref="C2" xr:uid="{69D92AB4-FD07-44E6-A237-6B82835FD2C2}">
      <formula1>INDIRECT("Tabela1[Descrição]")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Validação de Dados</vt:lpstr>
      <vt:lpstr>Saldo &amp; Mov.</vt:lpstr>
      <vt:lpstr>Receita Líquida</vt:lpstr>
      <vt:lpstr>Despesas Gerais</vt:lpstr>
      <vt:lpstr>Gráfico Anual</vt:lpstr>
      <vt:lpstr>Análise</vt:lpstr>
      <vt:lpstr>Contas</vt:lpstr>
      <vt:lpstr>Dash</vt:lpstr>
      <vt:lpstr>Despesas</vt:lpstr>
      <vt:lpstr>Investimentos</vt:lpstr>
      <vt:lpstr>Meses</vt:lpstr>
      <vt:lpstr>Pagamento</vt:lpstr>
      <vt:lpstr>Perdas</vt:lpstr>
      <vt:lpstr>Receita_Líquida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2025-03-29T21:15:49Z</cp:lastPrinted>
  <dcterms:created xsi:type="dcterms:W3CDTF">2011-04-06T00:31:18Z</dcterms:created>
  <dcterms:modified xsi:type="dcterms:W3CDTF">2026-04-16T20:15:14Z</dcterms:modified>
</cp:coreProperties>
</file>