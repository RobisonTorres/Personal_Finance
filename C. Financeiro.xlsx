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078F453-80BE-4B7F-9592-4A64061745B9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 Líquida" sheetId="8" state="hidden" r:id="rId2"/>
    <sheet name="Despesas Gerais" sheetId="1" state="hidden" r:id="rId3"/>
    <sheet name="Gráfico Categoria" sheetId="14" state="hidden" r:id="rId4"/>
    <sheet name="Gráfico Anual" sheetId="13" r:id="rId5"/>
  </sheets>
  <definedNames>
    <definedName name="Ativos">'Saldo &amp; Mov.'!$B$9:$B$11</definedName>
    <definedName name="Categorias">'Despesas Gerais'!$A$7:$A$18</definedName>
    <definedName name="Dash">'Gráfico Anual'!$A$1:$P$26</definedName>
    <definedName name="Despesas">'Despesas Gerais'!$A$7:$A$18</definedName>
    <definedName name="Investimentos">'Receita Líquida'!$A$13:$A$14</definedName>
    <definedName name="Item">'Despesas Gerais'!$A$7:$A$18</definedName>
    <definedName name="Meses">'Receita Líquida'!$B$2:$M$2</definedName>
    <definedName name="Perdas">'Receita Líquida'!$A$8:$A$12</definedName>
    <definedName name="Receita_Líquida">'Receita Líquida'!$A$3:$A$14</definedName>
    <definedName name="Receitas">'Receita Líquida'!$A$3:$A$7</definedName>
    <definedName name="Transferir">'Saldo &amp; Mov.'!$B$9:$B$11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8" l="1"/>
  <c r="C20" i="12"/>
  <c r="C18" i="12"/>
  <c r="C19" i="12"/>
  <c r="C17" i="12"/>
  <c r="E4" i="14" l="1" a="1"/>
  <c r="E4" i="14" s="1"/>
  <c r="E3" i="12" a="1"/>
  <c r="E3" i="12" s="1"/>
  <c r="C135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F4" i="14" l="1" a="1"/>
  <c r="F4" i="14" s="1"/>
  <c r="C3" i="14" s="1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A18" i="8" l="1"/>
  <c r="C136" i="12" l="1"/>
  <c r="A14" i="13" l="1"/>
  <c r="A13" i="13"/>
  <c r="A12" i="13"/>
  <c r="A11" i="13"/>
  <c r="A10" i="13"/>
  <c r="A9" i="13"/>
  <c r="A8" i="13"/>
  <c r="A7" i="13"/>
  <c r="A6" i="13"/>
  <c r="A5" i="13"/>
  <c r="A4" i="13"/>
  <c r="A3" i="13"/>
  <c r="C145" i="12"/>
  <c r="D145" i="12" s="1"/>
  <c r="E145" i="12" s="1"/>
  <c r="F145" i="12" s="1"/>
  <c r="C9" i="12" l="1" a="1"/>
  <c r="C9" i="12" s="1"/>
  <c r="G145" i="12"/>
  <c r="C11" i="12" a="1"/>
  <c r="C11" i="12" s="1"/>
  <c r="C10" i="12" a="1"/>
  <c r="C10" i="12" s="1"/>
  <c r="M2" i="8"/>
  <c r="L2" i="8"/>
  <c r="K2" i="8"/>
  <c r="J2" i="8"/>
  <c r="I2" i="8"/>
  <c r="H2" i="8"/>
  <c r="G2" i="8"/>
  <c r="F2" i="8"/>
  <c r="E2" i="8"/>
  <c r="D2" i="8"/>
  <c r="C2" i="8"/>
  <c r="B2" i="8"/>
  <c r="F2" i="1"/>
  <c r="G2" i="1"/>
  <c r="H2" i="1"/>
  <c r="I2" i="1"/>
  <c r="J2" i="1"/>
  <c r="K2" i="1"/>
  <c r="L2" i="1"/>
  <c r="M2" i="1"/>
  <c r="E2" i="1"/>
  <c r="D2" i="1"/>
  <c r="C2" i="1"/>
  <c r="C154" i="12" l="1"/>
  <c r="C166" i="12" l="1"/>
  <c r="C165" i="12"/>
  <c r="C164" i="12"/>
  <c r="C163" i="12"/>
  <c r="C162" i="12"/>
  <c r="C161" i="12"/>
  <c r="C160" i="12"/>
  <c r="C159" i="12"/>
  <c r="C158" i="12"/>
  <c r="C157" i="12"/>
  <c r="C156" i="12"/>
  <c r="C12" i="12" l="1"/>
  <c r="A16" i="12"/>
  <c r="C169" i="12"/>
  <c r="C155" i="12"/>
  <c r="C167" i="12"/>
  <c r="C168" i="12"/>
  <c r="C181" i="12"/>
  <c r="C182" i="12"/>
  <c r="B11" i="1" l="1"/>
  <c r="O7" i="13" s="1"/>
  <c r="B15" i="1"/>
  <c r="O11" i="13" s="1"/>
  <c r="B7" i="8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O13" i="13" s="1"/>
  <c r="B5" i="8"/>
  <c r="B9" i="8"/>
  <c r="B13" i="8"/>
  <c r="B10" i="1"/>
  <c r="O6" i="13" s="1"/>
  <c r="B14" i="1"/>
  <c r="O10" i="13" s="1"/>
  <c r="B18" i="1"/>
  <c r="O14" i="13" s="1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O4" i="13" l="1"/>
  <c r="F3" i="12" a="1"/>
  <c r="F3" i="12" s="1"/>
  <c r="D3" i="13"/>
  <c r="D15" i="13" s="1"/>
  <c r="L4" i="13"/>
  <c r="L3" i="13"/>
  <c r="F18" i="8"/>
  <c r="L18" i="8"/>
  <c r="J18" i="8"/>
  <c r="C18" i="8"/>
  <c r="E18" i="8"/>
  <c r="G18" i="8"/>
  <c r="D18" i="8"/>
  <c r="I18" i="8"/>
  <c r="K18" i="8"/>
  <c r="H18" i="8"/>
  <c r="M18" i="8"/>
  <c r="B18" i="8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F3" i="13" l="1"/>
  <c r="F16" i="13" s="1"/>
  <c r="B3" i="1"/>
  <c r="B4" i="1" s="1"/>
  <c r="I3" i="13" s="1"/>
  <c r="H3" i="13" s="1"/>
  <c r="F17" i="13" l="1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s="1"/>
  <c r="K4" i="1" l="1"/>
  <c r="I12" i="13" s="1"/>
  <c r="H12" i="13" l="1"/>
  <c r="L4" i="1"/>
  <c r="I13" i="13" s="1"/>
  <c r="H13" i="13" l="1"/>
  <c r="C6" i="12"/>
  <c r="C13" i="12" s="1"/>
  <c r="M4" i="1"/>
  <c r="L9" i="13" l="1"/>
  <c r="I15" i="13" s="1"/>
  <c r="C7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<sst xmlns="http://schemas.openxmlformats.org/spreadsheetml/2006/main" count="99" uniqueCount="65">
  <si>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</si>
  <si>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</si>
  <si>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</si>
  <si>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</si>
  <si>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</si>
  <si>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</si>
  <si>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</si>
  <si>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</si>
  <si>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</si>
  <si>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</si>
  <si>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</si>
  <si>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</si>
  <si>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</si>
  <si>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Rolê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</si>
  <si>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</si>
  <si>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</si>
  <si>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</si>
  <si>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</si>
  <si>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</si>
  <si>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</si>
  <si>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</si>
  <si>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</si>
  <si>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Cursos</t>
  </si>
  <si>
    <t>Alimentação</t>
  </si>
  <si>
    <t>Entret e Livros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</si>
  <si>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</si>
  <si>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</si>
  <si>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</si>
  <si>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</si>
  <si>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</si>
  <si>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</si>
  <si>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</si>
  <si>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</si>
  <si>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</si>
  <si>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</si>
  <si>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</si>
  <si>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</si>
  <si>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</si>
  <si>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</si>
  <si>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</si>
  <si>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</si>
  <si>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</si>
  <si>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</si>
  <si>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</si>
  <si>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</si>
  <si>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</si>
  <si>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</si>
  <si>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</si>
  <si>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</si>
  <si>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</si>
  <si>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</si>
  <si>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</si>
  <si>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</si>
  <si>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</si>
  <si>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</si>
  <si>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</si>
  <si>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</si>
  <si>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</si>
  <si>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Jogos</t>
  </si>
  <si>
    <t>Eletrônicos</t>
  </si>
  <si>
    <t>Carro - Gas</t>
  </si>
  <si>
    <t>Condomínio</t>
  </si>
  <si>
    <t>Taxa</t>
  </si>
  <si>
    <t>Receitas</t>
  </si>
  <si>
    <t>Transferir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</si>
</sst>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0" fillId="2" borderId="0" xfId="0" applyFill="1"/>
    <xf numFmtId="0" fontId="2" fillId="2" borderId="0" xfId="0" applyFont="1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165" fontId="6" fillId="2" borderId="0" xfId="0" applyNumberFormat="1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44" fontId="6" fillId="2" borderId="0" xfId="1" applyFont="1" applyFill="1" applyAlignment="1">
      <alignment horizontal="center"/>
    </xf>
    <xf numFmtId="44" fontId="6" fillId="2" borderId="0" xfId="1" applyFont="1" applyFill="1" applyBorder="1" applyAlignment="1">
      <alignment horizontal="center"/>
    </xf>
    <xf numFmtId="44" fontId="6" fillId="2" borderId="0" xfId="0" applyNumberFormat="1" applyFont="1" applyFill="1" applyAlignment="1">
      <alignment horizontal="left"/>
    </xf>
    <xf numFmtId="0" fontId="6" fillId="2" borderId="0" xfId="0" applyFont="1" applyFill="1" applyAlignment="1">
      <alignment horizontal="right"/>
    </xf>
    <xf numFmtId="165" fontId="6" fillId="2" borderId="0" xfId="0" applyNumberFormat="1" applyFont="1" applyFill="1"/>
    <xf numFmtId="0" fontId="6" fillId="2" borderId="0" xfId="1" applyNumberFormat="1" applyFont="1" applyFill="1" applyBorder="1" applyAlignment="1">
      <alignment horizontal="center"/>
    </xf>
    <xf numFmtId="44" fontId="2" fillId="2" borderId="0" xfId="1" applyFont="1" applyFill="1"/>
    <xf numFmtId="44" fontId="6" fillId="2" borderId="0" xfId="1" quotePrefix="1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0" fontId="6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center"/>
    </xf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8" fillId="2" borderId="0" xfId="0" applyFont="1" applyFill="1" applyAlignment="1">
      <alignment horizontal="left"/>
    </xf>
    <xf numFmtId="44" fontId="2" fillId="2" borderId="0" xfId="1" applyFont="1" applyFill="1" applyAlignment="1">
      <alignment horizontal="center"/>
    </xf>
    <xf numFmtId="165" fontId="6" fillId="2" borderId="1" xfId="0" applyNumberFormat="1" applyFont="1" applyFill="1" applyBorder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44" fontId="5" fillId="2" borderId="0" xfId="1" applyFont="1" applyFill="1"/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 - Gas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Entret e Livros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'Gráfico Categoria'!$F$3</c:f>
              <c:strCache>
                <c:ptCount val="1"/>
                <c:pt idx="0">
                  <c:v>Valor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Categoria'!$E$4:$E$15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Categoria'!$F$4:$F$15</c:f>
              <c:numCache>
                <c:formatCode>_("R$"* #,##0.00_);_("R$"* \(#,##0.00\);_("R$"* "-"??_);_(@_)</c:formatCode>
                <c:ptCount val="12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4"/>
        <c:axId val="128784240"/>
        <c:axId val="1981972528"/>
      </c:barChart>
      <c:catAx>
        <c:axId val="12878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50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 - Gas</c:v>
                </c:pt>
                <c:pt idx="2">
                  <c:v>Condomínio</c:v>
                </c:pt>
                <c:pt idx="3">
                  <c:v>Cursos</c:v>
                </c:pt>
                <c:pt idx="4">
                  <c:v>Eletrônicos</c:v>
                </c:pt>
                <c:pt idx="5">
                  <c:v>Entret e Livros</c:v>
                </c:pt>
                <c:pt idx="6">
                  <c:v>Farm. e Saúde.</c:v>
                </c:pt>
                <c:pt idx="7">
                  <c:v>G. Residencial</c:v>
                </c:pt>
                <c:pt idx="8">
                  <c:v>Jogos</c:v>
                </c:pt>
                <c:pt idx="9">
                  <c:v>Rolê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1</xdr:row>
      <xdr:rowOff>0</xdr:rowOff>
    </xdr:from>
    <xdr:to>
      <xdr:col>8</xdr:col>
      <xdr:colOff>0</xdr:colOff>
      <xdr:row>14</xdr:row>
      <xdr:rowOff>33532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2343</xdr:colOff>
      <xdr:row>1</xdr:row>
      <xdr:rowOff>4198</xdr:rowOff>
    </xdr:from>
    <xdr:to>
      <xdr:col>13</xdr:col>
      <xdr:colOff>335901</xdr:colOff>
      <xdr:row>17</xdr:row>
      <xdr:rowOff>59789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6338</xdr:colOff>
      <xdr:row>0</xdr:row>
      <xdr:rowOff>2</xdr:rowOff>
    </xdr:from>
    <xdr:to>
      <xdr:col>10</xdr:col>
      <xdr:colOff>27160</xdr:colOff>
      <xdr:row>26</xdr:row>
      <xdr:rowOff>80770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15</xdr:col>
      <xdr:colOff>578549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672"/>
  <sheetViews>
    <sheetView tabSelected="1"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6" style="50" customWidth="1"/>
    <col min="2" max="2" width="10.5703125" style="47" customWidth="1"/>
    <col min="3" max="3" width="15.7109375" style="48" customWidth="1"/>
    <col min="4" max="4" width="15" style="48" bestFit="1" customWidth="1"/>
    <col min="5" max="5" width="15.7109375" style="50" customWidth="1"/>
    <col min="6" max="6" width="14.28515625" style="50" customWidth="1"/>
    <col min="7" max="7" width="17.140625" style="51" customWidth="1"/>
    <col min="8" max="8" width="35.7109375" style="49" customWidth="1"/>
    <col min="9" max="9" width="6" style="50" customWidth="1"/>
    <col min="10" max="10" width="10" style="50" customWidth="1"/>
    <col min="11" max="16384" width="9.140625" style="50"/>
  </cols>
  <sheetData>
    <row r="1" spans="1:9" ht="14.3" customHeight="1" x14ac:dyDescent="0.3"/>
    <row r="2" spans="1:9" ht="14.3" customHeight="1" x14ac:dyDescent="0.3">
      <c r="B2" s="46" t="s">
        <v>0</v>
      </c>
      <c r="C2" s="46" t="s">
        <v>50</v>
      </c>
      <c r="E2" s="2" t="s">
        <v>43</v>
      </c>
      <c r="F2" s="57" t="s">
        <v>28</v>
      </c>
    </row>
    <row r="3" spans="1:9" ht="14.3" customHeight="1" x14ac:dyDescent="0.3">
      <c r="B3" s="73" t="s">
        <v>36</v>
      </c>
      <c r="C3" s="60" t="s">
        <v>1</v>
      </c>
      <c r="E3" s="71" t="str" cm="1">
        <f t="array" ref="E3:E14">IF(C3="Despesas",Categorias,IF(C3="Receita Líquida",Receita_Líquida,""))</f>
        <v>Alimentação</v>
      </c>
      <c r="F3" s="57" cm="1">
        <f t="array" ref="F3:F14">IF(C3="Despesas",_xlfn._xlws.FILTER('Despesas Gerais'!B7:M18,'Despesas Gerais'!B2:M2=C2),IF(C3="Receita Líquida",_xlfn._xlws.FILTER('Receita Líquida'!B3:M14,'Receita Líquida'!B2:M2=C2),""))</f>
        <v>50</v>
      </c>
      <c r="H3" s="50"/>
    </row>
    <row r="4" spans="1:9" ht="14.3" customHeight="1" x14ac:dyDescent="0.3">
      <c r="B4" s="28" t="s">
        <v>2</v>
      </c>
      <c r="C4" s="27">
        <f>IF(C3="Despesas",HLOOKUP(C2,'Despesas Gerais'!B2:M20,19,FALSE),IF(C3="Receita Líquida",HLOOKUP(C2,'Receita Líquida'!B2:M16,15,FALSE),IF(C3="Item",SUM(F3:F14),"")))</f>
        <v>50</v>
      </c>
      <c r="D4" s="35"/>
      <c r="E4" s="71" t="str">
        <v>Carro - Gas</v>
      </c>
      <c r="F4" s="57">
        <v>0</v>
      </c>
      <c r="H4" s="50"/>
    </row>
    <row r="5" spans="1:9" ht="14.3" customHeight="1" x14ac:dyDescent="0.3">
      <c r="B5" s="50"/>
      <c r="C5" s="50"/>
      <c r="E5" s="71" t="str">
        <v>Condomínio</v>
      </c>
      <c r="F5" s="57">
        <v>0</v>
      </c>
      <c r="H5" s="50"/>
    </row>
    <row r="6" spans="1:9" ht="14.3" customHeight="1" x14ac:dyDescent="0.3">
      <c r="B6" s="28" t="s">
        <v>4</v>
      </c>
      <c r="C6" s="27">
        <f>VLOOKUP(C2,'Gráfico Anual'!A3:I14,9,FALSE)</f>
        <v>100</v>
      </c>
      <c r="E6" s="71" t="str">
        <v>Cursos</v>
      </c>
      <c r="F6" s="57">
        <v>0</v>
      </c>
      <c r="H6" s="50"/>
    </row>
    <row r="7" spans="1:9" ht="14.3" customHeight="1" x14ac:dyDescent="0.3">
      <c r="B7" s="28" t="s">
        <v>46</v>
      </c>
      <c r="C7" s="27">
        <f>'Gráfico Anual'!I15</f>
        <v>100</v>
      </c>
      <c r="E7" s="71" t="str">
        <v>Eletrônicos</v>
      </c>
      <c r="F7" s="57">
        <v>0</v>
      </c>
      <c r="H7" s="50"/>
      <c r="I7" s="36"/>
    </row>
    <row r="8" spans="1:9" ht="14.3" customHeight="1" x14ac:dyDescent="0.3">
      <c r="E8" s="71" t="str">
        <v>Entret e Livros</v>
      </c>
      <c r="F8" s="57">
        <v>0</v>
      </c>
      <c r="H8" s="50"/>
    </row>
    <row r="9" spans="1:9" ht="14.3" customHeight="1" x14ac:dyDescent="0.3">
      <c r="B9" s="28" t="s">
        <v>33</v>
      </c>
      <c r="C9" s="3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75</v>
      </c>
      <c r="E9" s="71" t="str">
        <v>Farm. e Saúde.</v>
      </c>
      <c r="F9" s="57">
        <v>0</v>
      </c>
      <c r="H9" s="50"/>
    </row>
    <row r="10" spans="1:9" ht="14.3" customHeight="1" x14ac:dyDescent="0.3">
      <c r="A10" s="48"/>
      <c r="B10" s="28" t="s">
        <v>34</v>
      </c>
      <c r="C10" s="3" cm="1">
        <f t="array" aca="1" ref="C10" ca="1">SUM(SUMIFS(Tabela1[Valor],Tabela1[Operação],{"Receitas";"Transferir"},Tabela1[Alocação],B10,Tabela1[Data],"&lt;="&amp;(TODAY())))-SUMIFS(Tabela1[Valor],Tabela1[Operação],"&lt;&gt;Receitas",Tabela1[Operação],"&lt;&gt;Transferir",Tabela1[Alocação],B10,Tabela1[Data],"&lt;="&amp;(TODAY())) - SUMIFS(Tabela1[Valor],Tabela1[Categoria],B10,Tabela1[Data],"&lt;="&amp;(TODAY()))</f>
        <v>0</v>
      </c>
      <c r="E10" s="71" t="str">
        <v>G. Residencial</v>
      </c>
      <c r="F10" s="57">
        <v>0</v>
      </c>
      <c r="H10" s="50"/>
    </row>
    <row r="11" spans="1:9" ht="14.3" customHeight="1" x14ac:dyDescent="0.3">
      <c r="A11" s="48"/>
      <c r="B11" s="28" t="s">
        <v>30</v>
      </c>
      <c r="C11" s="3" cm="1">
        <f t="array" aca="1" ref="C11" ca="1">SUM(SUMIFS(Tabela1[Valor],Tabela1[Operação],{"Receitas";"Transferir"},Tabela1[Alocação],B11,Tabela1[Data],"&lt;="&amp;(TODAY())))-SUMIFS(Tabela1[Valor],Tabela1[Operação],"&lt;&gt;Receitas",Tabela1[Operação],"&lt;&gt;Transferir",Tabela1[Alocação],B11,Tabela1[Data],"&lt;="&amp;(TODAY())) - SUMIFS(Tabela1[Valor],Tabela1[Categoria],B11,Tabela1[Data],"&lt;="&amp;(TODAY()))</f>
        <v>25</v>
      </c>
      <c r="E11" s="71" t="str">
        <v>Jogos</v>
      </c>
      <c r="F11" s="57">
        <v>0</v>
      </c>
      <c r="H11" s="50"/>
    </row>
    <row r="12" spans="1:9" ht="14.3" customHeight="1" x14ac:dyDescent="0.3">
      <c r="A12" s="48"/>
      <c r="B12" s="28" t="s">
        <v>47</v>
      </c>
      <c r="C12" s="3">
        <f ca="1">SUM(C9:C11)</f>
        <v>100</v>
      </c>
      <c r="E12" s="71" t="str">
        <v>Rolê</v>
      </c>
      <c r="F12" s="57">
        <v>0</v>
      </c>
      <c r="H12" s="50"/>
    </row>
    <row r="13" spans="1:9" ht="14.3" customHeight="1" x14ac:dyDescent="0.3">
      <c r="A13" s="48"/>
      <c r="B13" s="28" t="s">
        <v>48</v>
      </c>
      <c r="C13" s="27">
        <f ca="1">C6-C12</f>
        <v>0</v>
      </c>
      <c r="E13" s="71" t="str">
        <v>Roupas</v>
      </c>
      <c r="F13" s="57">
        <v>0</v>
      </c>
      <c r="H13" s="50"/>
    </row>
    <row r="14" spans="1:9" ht="14.3" customHeight="1" x14ac:dyDescent="0.3">
      <c r="A14" s="48"/>
      <c r="B14" s="50"/>
      <c r="C14" s="50"/>
      <c r="E14" s="71" t="str">
        <v>G. Gerais</v>
      </c>
      <c r="F14" s="72">
        <v>0</v>
      </c>
      <c r="H14" s="50"/>
    </row>
    <row r="15" spans="1:9" ht="14.3" customHeight="1" x14ac:dyDescent="0.3">
      <c r="A15" s="54"/>
      <c r="B15" s="50"/>
      <c r="H15" s="50"/>
    </row>
    <row r="16" spans="1:9" ht="14.3" customHeight="1" x14ac:dyDescent="0.3">
      <c r="A16" s="56">
        <f>SUBTOTAL(2,Tabela1[Data])</f>
        <v>3</v>
      </c>
      <c r="B16" s="30" t="s">
        <v>35</v>
      </c>
      <c r="C16" s="31" t="s">
        <v>0</v>
      </c>
      <c r="D16" s="31" t="s">
        <v>42</v>
      </c>
      <c r="E16" s="32" t="s">
        <v>36</v>
      </c>
      <c r="F16" s="32" t="s">
        <v>41</v>
      </c>
      <c r="G16" s="33" t="s">
        <v>28</v>
      </c>
      <c r="H16" s="32" t="s">
        <v>14</v>
      </c>
    </row>
    <row r="17" spans="2:8" ht="13.55" customHeight="1" x14ac:dyDescent="0.3">
      <c r="B17" s="34">
        <v>44927</v>
      </c>
      <c r="C17" s="35" t="str">
        <f t="shared" ref="C17:C19" si="0">IF(ISBLANK(B17),"",PROPER(TEXT(B17,"MMMM")))</f>
        <v>Janeiro</v>
      </c>
      <c r="D17" s="35" t="s">
        <v>63</v>
      </c>
      <c r="E17" s="36" t="s">
        <v>29</v>
      </c>
      <c r="F17" s="36" t="s">
        <v>33</v>
      </c>
      <c r="G17" s="37">
        <v>150</v>
      </c>
      <c r="H17" s="38"/>
    </row>
    <row r="18" spans="2:8" x14ac:dyDescent="0.3">
      <c r="B18" s="34">
        <v>44927</v>
      </c>
      <c r="C18" s="35" t="str">
        <f t="shared" si="0"/>
        <v>Janeiro</v>
      </c>
      <c r="D18" s="35" t="s">
        <v>1</v>
      </c>
      <c r="E18" s="36" t="s">
        <v>23</v>
      </c>
      <c r="F18" s="36" t="s">
        <v>33</v>
      </c>
      <c r="G18" s="37">
        <v>50</v>
      </c>
      <c r="H18" s="38"/>
    </row>
    <row r="19" spans="2:8" x14ac:dyDescent="0.3">
      <c r="B19" s="34">
        <v>44928</v>
      </c>
      <c r="C19" s="35" t="str">
        <f t="shared" si="0"/>
        <v>Janeiro</v>
      </c>
      <c r="D19" s="35" t="s">
        <v>64</v>
      </c>
      <c r="E19" s="36" t="s">
        <v>33</v>
      </c>
      <c r="F19" s="36" t="s">
        <v>30</v>
      </c>
      <c r="G19" s="37">
        <v>25</v>
      </c>
      <c r="H19" s="38"/>
    </row>
    <row r="20" spans="2:8" x14ac:dyDescent="0.3">
      <c r="B20" s="34"/>
      <c r="C20" s="35" t="str">
        <f>IF(ISBLANK(B20),"",PROPER(TEXT(B20,"MMMM")))</f>
        <v/>
      </c>
      <c r="D20" s="35"/>
      <c r="E20" s="36"/>
      <c r="F20" s="36"/>
      <c r="G20" s="37"/>
      <c r="H20" s="38"/>
    </row>
    <row r="24" spans="2:8" x14ac:dyDescent="0.3">
      <c r="G24" s="52"/>
    </row>
    <row r="26" spans="2:8" x14ac:dyDescent="0.3">
      <c r="G26" s="52"/>
    </row>
    <row r="27" spans="2:8" x14ac:dyDescent="0.3">
      <c r="G27" s="52"/>
    </row>
    <row r="28" spans="2:8" x14ac:dyDescent="0.3">
      <c r="G28" s="52"/>
    </row>
    <row r="29" spans="2:8" x14ac:dyDescent="0.3">
      <c r="G29" s="52"/>
    </row>
    <row r="38" spans="9:9" x14ac:dyDescent="0.3">
      <c r="I38" s="50" t="s">
        <v>38</v>
      </c>
    </row>
    <row r="135" spans="3:7" x14ac:dyDescent="0.3">
      <c r="C135" s="48" t="str">
        <f>IF(ISBLANK(B135),"",PROPER(TEXT(B135,"MMMM")))</f>
        <v/>
      </c>
    </row>
    <row r="136" spans="3:7" x14ac:dyDescent="0.3">
      <c r="C136" s="48" t="str">
        <f>IF(ISBLANK(B136),"",PROPER(TEXT(B136,"MMMM")))</f>
        <v/>
      </c>
      <c r="G136" s="58"/>
    </row>
    <row r="145" spans="3:7" x14ac:dyDescent="0.3">
      <c r="C145" s="48" t="str">
        <f>IF(ISBLANK(B145),"",PROPER(TEXT(B145,"MMMM")))</f>
        <v/>
      </c>
      <c r="D145" s="48" t="str">
        <f t="shared" ref="D145:G145" si="1">IF(ISBLANK(C145),"",PROPER(TEXT(C145,"MMMM")))</f>
        <v/>
      </c>
      <c r="E145" s="48" t="str">
        <f t="shared" si="1"/>
        <v/>
      </c>
      <c r="F145" s="48" t="str">
        <f t="shared" si="1"/>
        <v/>
      </c>
      <c r="G145" s="48" t="str">
        <f t="shared" si="1"/>
        <v/>
      </c>
    </row>
    <row r="154" spans="3:7" x14ac:dyDescent="0.3">
      <c r="C154" s="48" t="str">
        <f t="shared" ref="C154" si="2">IF(ISBLANK(B154),"",PROPER(TEXT(B154,"MMMM")))</f>
        <v/>
      </c>
    </row>
    <row r="155" spans="3:7" x14ac:dyDescent="0.3">
      <c r="C155" s="48" t="str">
        <f t="shared" ref="C155:C169" si="3">IF(ISBLANK(B155),"",PROPER(TEXT(B155,"MMMM")))</f>
        <v/>
      </c>
    </row>
    <row r="156" spans="3:7" x14ac:dyDescent="0.3">
      <c r="C156" s="48" t="str">
        <f t="shared" ref="C156:C166" si="4">IF(ISBLANK(B156),"",PROPER(TEXT(B156,"MMMM")))</f>
        <v/>
      </c>
    </row>
    <row r="157" spans="3:7" x14ac:dyDescent="0.3">
      <c r="C157" s="48" t="str">
        <f t="shared" si="4"/>
        <v/>
      </c>
    </row>
    <row r="158" spans="3:7" x14ac:dyDescent="0.3">
      <c r="C158" s="48" t="str">
        <f t="shared" si="4"/>
        <v/>
      </c>
    </row>
    <row r="159" spans="3:7" x14ac:dyDescent="0.3">
      <c r="C159" s="48" t="str">
        <f t="shared" si="4"/>
        <v/>
      </c>
    </row>
    <row r="160" spans="3:7" x14ac:dyDescent="0.3">
      <c r="C160" s="48" t="str">
        <f t="shared" si="4"/>
        <v/>
      </c>
    </row>
    <row r="161" spans="2:8" x14ac:dyDescent="0.3">
      <c r="C161" s="48" t="str">
        <f t="shared" si="4"/>
        <v/>
      </c>
    </row>
    <row r="162" spans="2:8" x14ac:dyDescent="0.3">
      <c r="C162" s="48" t="str">
        <f t="shared" si="4"/>
        <v/>
      </c>
    </row>
    <row r="163" spans="2:8" x14ac:dyDescent="0.3">
      <c r="C163" s="48" t="str">
        <f t="shared" si="4"/>
        <v/>
      </c>
    </row>
    <row r="164" spans="2:8" x14ac:dyDescent="0.3">
      <c r="C164" s="48" t="str">
        <f t="shared" si="4"/>
        <v/>
      </c>
    </row>
    <row r="165" spans="2:8" x14ac:dyDescent="0.3">
      <c r="C165" s="48" t="str">
        <f t="shared" si="4"/>
        <v/>
      </c>
    </row>
    <row r="166" spans="2:8" x14ac:dyDescent="0.3">
      <c r="C166" s="48" t="str">
        <f t="shared" si="4"/>
        <v/>
      </c>
    </row>
    <row r="167" spans="2:8" x14ac:dyDescent="0.3">
      <c r="C167" s="48" t="str">
        <f t="shared" si="3"/>
        <v/>
      </c>
    </row>
    <row r="168" spans="2:8" x14ac:dyDescent="0.3">
      <c r="C168" s="48" t="str">
        <f t="shared" si="3"/>
        <v/>
      </c>
    </row>
    <row r="169" spans="2:8" x14ac:dyDescent="0.3">
      <c r="C169" s="48" t="str">
        <f t="shared" si="3"/>
        <v/>
      </c>
      <c r="G169" s="52"/>
      <c r="H169" s="53"/>
    </row>
    <row r="170" spans="2:8" x14ac:dyDescent="0.3">
      <c r="B170" s="50"/>
      <c r="C170" s="50"/>
      <c r="D170" s="50"/>
      <c r="E170" s="54"/>
      <c r="F170" s="54"/>
      <c r="G170" s="52"/>
      <c r="H170" s="53"/>
    </row>
    <row r="171" spans="2:8" x14ac:dyDescent="0.3">
      <c r="B171" s="50"/>
      <c r="C171" s="50"/>
      <c r="D171" s="50"/>
      <c r="E171" s="54"/>
      <c r="F171" s="54"/>
      <c r="G171" s="52"/>
      <c r="H171" s="53"/>
    </row>
    <row r="172" spans="2:8" x14ac:dyDescent="0.3">
      <c r="B172" s="50"/>
      <c r="C172" s="50"/>
      <c r="D172" s="50"/>
      <c r="E172" s="54"/>
      <c r="F172" s="54"/>
      <c r="G172" s="52"/>
      <c r="H172" s="53"/>
    </row>
    <row r="173" spans="2:8" x14ac:dyDescent="0.3">
      <c r="B173" s="50"/>
      <c r="C173" s="55"/>
      <c r="D173" s="55"/>
      <c r="E173" s="54"/>
      <c r="F173" s="54"/>
      <c r="G173" s="52"/>
      <c r="H173" s="53"/>
    </row>
    <row r="174" spans="2:8" x14ac:dyDescent="0.3">
      <c r="B174" s="50"/>
      <c r="C174" s="50"/>
      <c r="D174" s="50"/>
      <c r="G174" s="50"/>
    </row>
    <row r="175" spans="2:8" x14ac:dyDescent="0.3">
      <c r="B175" s="50"/>
      <c r="C175" s="50"/>
      <c r="D175" s="50"/>
      <c r="G175" s="50"/>
    </row>
    <row r="176" spans="2:8" x14ac:dyDescent="0.3">
      <c r="B176" s="50"/>
      <c r="C176" s="50"/>
      <c r="D176" s="50"/>
      <c r="G176" s="50"/>
    </row>
    <row r="177" spans="2:7" x14ac:dyDescent="0.3">
      <c r="B177" s="50"/>
      <c r="C177" s="50"/>
      <c r="D177" s="50"/>
      <c r="G177" s="50"/>
    </row>
    <row r="178" spans="2:7" x14ac:dyDescent="0.3">
      <c r="B178" s="50"/>
      <c r="C178" s="50"/>
      <c r="D178" s="50"/>
      <c r="G178" s="50"/>
    </row>
    <row r="179" spans="2:7" x14ac:dyDescent="0.3">
      <c r="B179" s="50"/>
      <c r="C179" s="50"/>
      <c r="D179" s="50"/>
      <c r="G179" s="50"/>
    </row>
    <row r="180" spans="2:7" x14ac:dyDescent="0.3">
      <c r="B180" s="50"/>
      <c r="C180" s="50"/>
      <c r="D180" s="50"/>
      <c r="G180" s="50"/>
    </row>
    <row r="181" spans="2:7" x14ac:dyDescent="0.3">
      <c r="C181" s="48" t="str">
        <f t="shared" ref="C181:C239" si="5">IF(ISBLANK(B181),"",PROPER(TEXT(B181,"MMMM")))</f>
        <v/>
      </c>
    </row>
    <row r="182" spans="2:7" x14ac:dyDescent="0.3">
      <c r="C182" s="48" t="str">
        <f t="shared" si="5"/>
        <v/>
      </c>
    </row>
    <row r="183" spans="2:7" x14ac:dyDescent="0.3">
      <c r="C183" s="48" t="str">
        <f t="shared" si="5"/>
        <v/>
      </c>
    </row>
    <row r="184" spans="2:7" x14ac:dyDescent="0.3">
      <c r="C184" s="48" t="str">
        <f t="shared" si="5"/>
        <v/>
      </c>
    </row>
    <row r="185" spans="2:7" x14ac:dyDescent="0.3">
      <c r="C185" s="48" t="str">
        <f t="shared" si="5"/>
        <v/>
      </c>
    </row>
    <row r="186" spans="2:7" x14ac:dyDescent="0.3">
      <c r="C186" s="48" t="str">
        <f t="shared" si="5"/>
        <v/>
      </c>
    </row>
    <row r="187" spans="2:7" x14ac:dyDescent="0.3">
      <c r="C187" s="48" t="str">
        <f t="shared" si="5"/>
        <v/>
      </c>
    </row>
    <row r="188" spans="2:7" x14ac:dyDescent="0.3">
      <c r="C188" s="48" t="str">
        <f t="shared" si="5"/>
        <v/>
      </c>
    </row>
    <row r="189" spans="2:7" x14ac:dyDescent="0.3">
      <c r="C189" s="48" t="str">
        <f t="shared" si="5"/>
        <v/>
      </c>
    </row>
    <row r="190" spans="2:7" x14ac:dyDescent="0.3">
      <c r="C190" s="48" t="str">
        <f t="shared" si="5"/>
        <v/>
      </c>
    </row>
    <row r="191" spans="2:7" x14ac:dyDescent="0.3">
      <c r="C191" s="48" t="str">
        <f t="shared" si="5"/>
        <v/>
      </c>
    </row>
    <row r="192" spans="2:7" x14ac:dyDescent="0.3">
      <c r="C192" s="48" t="str">
        <f t="shared" si="5"/>
        <v/>
      </c>
    </row>
    <row r="193" spans="3:3" x14ac:dyDescent="0.3">
      <c r="C193" s="48" t="str">
        <f t="shared" si="5"/>
        <v/>
      </c>
    </row>
    <row r="194" spans="3:3" x14ac:dyDescent="0.3">
      <c r="C194" s="48" t="str">
        <f t="shared" si="5"/>
        <v/>
      </c>
    </row>
    <row r="195" spans="3:3" x14ac:dyDescent="0.3">
      <c r="C195" s="48" t="str">
        <f t="shared" si="5"/>
        <v/>
      </c>
    </row>
    <row r="196" spans="3:3" x14ac:dyDescent="0.3">
      <c r="C196" s="48" t="str">
        <f t="shared" si="5"/>
        <v/>
      </c>
    </row>
    <row r="197" spans="3:3" x14ac:dyDescent="0.3">
      <c r="C197" s="48" t="str">
        <f t="shared" si="5"/>
        <v/>
      </c>
    </row>
    <row r="198" spans="3:3" x14ac:dyDescent="0.3">
      <c r="C198" s="48" t="str">
        <f t="shared" si="5"/>
        <v/>
      </c>
    </row>
    <row r="199" spans="3:3" x14ac:dyDescent="0.3">
      <c r="C199" s="48" t="str">
        <f t="shared" si="5"/>
        <v/>
      </c>
    </row>
    <row r="200" spans="3:3" x14ac:dyDescent="0.3">
      <c r="C200" s="48" t="str">
        <f t="shared" si="5"/>
        <v/>
      </c>
    </row>
    <row r="201" spans="3:3" x14ac:dyDescent="0.3">
      <c r="C201" s="48" t="str">
        <f t="shared" si="5"/>
        <v/>
      </c>
    </row>
    <row r="202" spans="3:3" x14ac:dyDescent="0.3">
      <c r="C202" s="48" t="str">
        <f t="shared" si="5"/>
        <v/>
      </c>
    </row>
    <row r="203" spans="3:3" x14ac:dyDescent="0.3">
      <c r="C203" s="48" t="str">
        <f t="shared" si="5"/>
        <v/>
      </c>
    </row>
    <row r="204" spans="3:3" x14ac:dyDescent="0.3">
      <c r="C204" s="48" t="str">
        <f t="shared" si="5"/>
        <v/>
      </c>
    </row>
    <row r="205" spans="3:3" x14ac:dyDescent="0.3">
      <c r="C205" s="48" t="str">
        <f t="shared" si="5"/>
        <v/>
      </c>
    </row>
    <row r="206" spans="3:3" x14ac:dyDescent="0.3">
      <c r="C206" s="48" t="str">
        <f t="shared" si="5"/>
        <v/>
      </c>
    </row>
    <row r="207" spans="3:3" x14ac:dyDescent="0.3">
      <c r="C207" s="48" t="str">
        <f t="shared" si="5"/>
        <v/>
      </c>
    </row>
    <row r="208" spans="3:3" x14ac:dyDescent="0.3">
      <c r="C208" s="48" t="str">
        <f t="shared" si="5"/>
        <v/>
      </c>
    </row>
    <row r="209" spans="3:3" x14ac:dyDescent="0.3">
      <c r="C209" s="48" t="str">
        <f t="shared" si="5"/>
        <v/>
      </c>
    </row>
    <row r="210" spans="3:3" x14ac:dyDescent="0.3">
      <c r="C210" s="48" t="str">
        <f t="shared" si="5"/>
        <v/>
      </c>
    </row>
    <row r="211" spans="3:3" x14ac:dyDescent="0.3">
      <c r="C211" s="48" t="str">
        <f t="shared" si="5"/>
        <v/>
      </c>
    </row>
    <row r="212" spans="3:3" x14ac:dyDescent="0.3">
      <c r="C212" s="48" t="str">
        <f t="shared" si="5"/>
        <v/>
      </c>
    </row>
    <row r="213" spans="3:3" x14ac:dyDescent="0.3">
      <c r="C213" s="48" t="str">
        <f t="shared" si="5"/>
        <v/>
      </c>
    </row>
    <row r="214" spans="3:3" x14ac:dyDescent="0.3">
      <c r="C214" s="48" t="str">
        <f t="shared" si="5"/>
        <v/>
      </c>
    </row>
    <row r="215" spans="3:3" x14ac:dyDescent="0.3">
      <c r="C215" s="48" t="str">
        <f t="shared" si="5"/>
        <v/>
      </c>
    </row>
    <row r="216" spans="3:3" x14ac:dyDescent="0.3">
      <c r="C216" s="48" t="str">
        <f t="shared" si="5"/>
        <v/>
      </c>
    </row>
    <row r="217" spans="3:3" x14ac:dyDescent="0.3">
      <c r="C217" s="48" t="str">
        <f t="shared" si="5"/>
        <v/>
      </c>
    </row>
    <row r="218" spans="3:3" x14ac:dyDescent="0.3">
      <c r="C218" s="48" t="str">
        <f t="shared" si="5"/>
        <v/>
      </c>
    </row>
    <row r="219" spans="3:3" x14ac:dyDescent="0.3">
      <c r="C219" s="48" t="str">
        <f t="shared" si="5"/>
        <v/>
      </c>
    </row>
    <row r="220" spans="3:3" x14ac:dyDescent="0.3">
      <c r="C220" s="48" t="str">
        <f t="shared" si="5"/>
        <v/>
      </c>
    </row>
    <row r="221" spans="3:3" x14ac:dyDescent="0.3">
      <c r="C221" s="48" t="str">
        <f t="shared" si="5"/>
        <v/>
      </c>
    </row>
    <row r="222" spans="3:3" x14ac:dyDescent="0.3">
      <c r="C222" s="48" t="str">
        <f t="shared" si="5"/>
        <v/>
      </c>
    </row>
    <row r="223" spans="3:3" x14ac:dyDescent="0.3">
      <c r="C223" s="48" t="str">
        <f t="shared" si="5"/>
        <v/>
      </c>
    </row>
    <row r="224" spans="3:3" x14ac:dyDescent="0.3">
      <c r="C224" s="48" t="str">
        <f t="shared" si="5"/>
        <v/>
      </c>
    </row>
    <row r="225" spans="3:3" x14ac:dyDescent="0.3">
      <c r="C225" s="48" t="str">
        <f t="shared" si="5"/>
        <v/>
      </c>
    </row>
    <row r="226" spans="3:3" x14ac:dyDescent="0.3">
      <c r="C226" s="48" t="str">
        <f t="shared" si="5"/>
        <v/>
      </c>
    </row>
    <row r="227" spans="3:3" x14ac:dyDescent="0.3">
      <c r="C227" s="48" t="str">
        <f t="shared" si="5"/>
        <v/>
      </c>
    </row>
    <row r="228" spans="3:3" x14ac:dyDescent="0.3">
      <c r="C228" s="48" t="str">
        <f t="shared" si="5"/>
        <v/>
      </c>
    </row>
    <row r="229" spans="3:3" x14ac:dyDescent="0.3">
      <c r="C229" s="48" t="str">
        <f t="shared" si="5"/>
        <v/>
      </c>
    </row>
    <row r="230" spans="3:3" x14ac:dyDescent="0.3">
      <c r="C230" s="48" t="str">
        <f t="shared" si="5"/>
        <v/>
      </c>
    </row>
    <row r="231" spans="3:3" x14ac:dyDescent="0.3">
      <c r="C231" s="48" t="str">
        <f t="shared" si="5"/>
        <v/>
      </c>
    </row>
    <row r="232" spans="3:3" x14ac:dyDescent="0.3">
      <c r="C232" s="48" t="str">
        <f t="shared" si="5"/>
        <v/>
      </c>
    </row>
    <row r="233" spans="3:3" x14ac:dyDescent="0.3">
      <c r="C233" s="48" t="str">
        <f t="shared" si="5"/>
        <v/>
      </c>
    </row>
    <row r="234" spans="3:3" x14ac:dyDescent="0.3">
      <c r="C234" s="48" t="str">
        <f t="shared" si="5"/>
        <v/>
      </c>
    </row>
    <row r="235" spans="3:3" x14ac:dyDescent="0.3">
      <c r="C235" s="48" t="str">
        <f t="shared" si="5"/>
        <v/>
      </c>
    </row>
    <row r="236" spans="3:3" x14ac:dyDescent="0.3">
      <c r="C236" s="48" t="str">
        <f t="shared" si="5"/>
        <v/>
      </c>
    </row>
    <row r="237" spans="3:3" x14ac:dyDescent="0.3">
      <c r="C237" s="48" t="str">
        <f t="shared" si="5"/>
        <v/>
      </c>
    </row>
    <row r="238" spans="3:3" x14ac:dyDescent="0.3">
      <c r="C238" s="48" t="str">
        <f t="shared" si="5"/>
        <v/>
      </c>
    </row>
    <row r="239" spans="3:3" x14ac:dyDescent="0.3">
      <c r="C239" s="48" t="str">
        <f t="shared" si="5"/>
        <v/>
      </c>
    </row>
    <row r="240" spans="3:3" x14ac:dyDescent="0.3">
      <c r="C240" s="48" t="str">
        <f t="shared" ref="C240:C303" si="6">IF(ISBLANK(B240),"",PROPER(TEXT(B240,"MMMM")))</f>
        <v/>
      </c>
    </row>
    <row r="241" spans="3:3" x14ac:dyDescent="0.3">
      <c r="C241" s="48" t="str">
        <f t="shared" si="6"/>
        <v/>
      </c>
    </row>
    <row r="242" spans="3:3" x14ac:dyDescent="0.3">
      <c r="C242" s="48" t="str">
        <f t="shared" si="6"/>
        <v/>
      </c>
    </row>
    <row r="243" spans="3:3" x14ac:dyDescent="0.3">
      <c r="C243" s="48" t="str">
        <f t="shared" si="6"/>
        <v/>
      </c>
    </row>
    <row r="244" spans="3:3" x14ac:dyDescent="0.3">
      <c r="C244" s="48" t="str">
        <f t="shared" si="6"/>
        <v/>
      </c>
    </row>
    <row r="245" spans="3:3" x14ac:dyDescent="0.3">
      <c r="C245" s="48" t="str">
        <f t="shared" si="6"/>
        <v/>
      </c>
    </row>
    <row r="246" spans="3:3" x14ac:dyDescent="0.3">
      <c r="C246" s="48" t="str">
        <f t="shared" si="6"/>
        <v/>
      </c>
    </row>
    <row r="247" spans="3:3" x14ac:dyDescent="0.3">
      <c r="C247" s="48" t="str">
        <f t="shared" si="6"/>
        <v/>
      </c>
    </row>
    <row r="248" spans="3:3" x14ac:dyDescent="0.3">
      <c r="C248" s="48" t="str">
        <f t="shared" si="6"/>
        <v/>
      </c>
    </row>
    <row r="249" spans="3:3" x14ac:dyDescent="0.3">
      <c r="C249" s="48" t="str">
        <f t="shared" si="6"/>
        <v/>
      </c>
    </row>
    <row r="250" spans="3:3" x14ac:dyDescent="0.3">
      <c r="C250" s="48" t="str">
        <f t="shared" si="6"/>
        <v/>
      </c>
    </row>
    <row r="251" spans="3:3" x14ac:dyDescent="0.3">
      <c r="C251" s="48" t="str">
        <f t="shared" si="6"/>
        <v/>
      </c>
    </row>
    <row r="252" spans="3:3" x14ac:dyDescent="0.3">
      <c r="C252" s="48" t="str">
        <f t="shared" si="6"/>
        <v/>
      </c>
    </row>
    <row r="253" spans="3:3" x14ac:dyDescent="0.3">
      <c r="C253" s="48" t="str">
        <f t="shared" si="6"/>
        <v/>
      </c>
    </row>
    <row r="254" spans="3:3" x14ac:dyDescent="0.3">
      <c r="C254" s="48" t="str">
        <f t="shared" si="6"/>
        <v/>
      </c>
    </row>
    <row r="255" spans="3:3" x14ac:dyDescent="0.3">
      <c r="C255" s="48" t="str">
        <f t="shared" si="6"/>
        <v/>
      </c>
    </row>
    <row r="256" spans="3:3" x14ac:dyDescent="0.3">
      <c r="C256" s="48" t="str">
        <f t="shared" si="6"/>
        <v/>
      </c>
    </row>
    <row r="257" spans="3:3" x14ac:dyDescent="0.3">
      <c r="C257" s="48" t="str">
        <f t="shared" si="6"/>
        <v/>
      </c>
    </row>
    <row r="258" spans="3:3" x14ac:dyDescent="0.3">
      <c r="C258" s="48" t="str">
        <f t="shared" si="6"/>
        <v/>
      </c>
    </row>
    <row r="259" spans="3:3" x14ac:dyDescent="0.3">
      <c r="C259" s="48" t="str">
        <f t="shared" si="6"/>
        <v/>
      </c>
    </row>
    <row r="260" spans="3:3" x14ac:dyDescent="0.3">
      <c r="C260" s="48" t="str">
        <f t="shared" si="6"/>
        <v/>
      </c>
    </row>
    <row r="261" spans="3:3" x14ac:dyDescent="0.3">
      <c r="C261" s="48" t="str">
        <f t="shared" si="6"/>
        <v/>
      </c>
    </row>
    <row r="262" spans="3:3" x14ac:dyDescent="0.3">
      <c r="C262" s="48" t="str">
        <f t="shared" si="6"/>
        <v/>
      </c>
    </row>
    <row r="263" spans="3:3" x14ac:dyDescent="0.3">
      <c r="C263" s="48" t="str">
        <f t="shared" si="6"/>
        <v/>
      </c>
    </row>
    <row r="264" spans="3:3" x14ac:dyDescent="0.3">
      <c r="C264" s="48" t="str">
        <f t="shared" si="6"/>
        <v/>
      </c>
    </row>
    <row r="265" spans="3:3" x14ac:dyDescent="0.3">
      <c r="C265" s="48" t="str">
        <f t="shared" si="6"/>
        <v/>
      </c>
    </row>
    <row r="266" spans="3:3" x14ac:dyDescent="0.3">
      <c r="C266" s="48" t="str">
        <f t="shared" si="6"/>
        <v/>
      </c>
    </row>
    <row r="267" spans="3:3" x14ac:dyDescent="0.3">
      <c r="C267" s="48" t="str">
        <f t="shared" si="6"/>
        <v/>
      </c>
    </row>
    <row r="268" spans="3:3" x14ac:dyDescent="0.3">
      <c r="C268" s="48" t="str">
        <f t="shared" si="6"/>
        <v/>
      </c>
    </row>
    <row r="269" spans="3:3" x14ac:dyDescent="0.3">
      <c r="C269" s="48" t="str">
        <f t="shared" si="6"/>
        <v/>
      </c>
    </row>
    <row r="270" spans="3:3" x14ac:dyDescent="0.3">
      <c r="C270" s="48" t="str">
        <f t="shared" si="6"/>
        <v/>
      </c>
    </row>
    <row r="271" spans="3:3" x14ac:dyDescent="0.3">
      <c r="C271" s="48" t="str">
        <f t="shared" si="6"/>
        <v/>
      </c>
    </row>
    <row r="272" spans="3:3" x14ac:dyDescent="0.3">
      <c r="C272" s="48" t="str">
        <f t="shared" si="6"/>
        <v/>
      </c>
    </row>
    <row r="273" spans="3:3" x14ac:dyDescent="0.3">
      <c r="C273" s="48" t="str">
        <f t="shared" si="6"/>
        <v/>
      </c>
    </row>
    <row r="274" spans="3:3" x14ac:dyDescent="0.3">
      <c r="C274" s="48" t="str">
        <f t="shared" si="6"/>
        <v/>
      </c>
    </row>
    <row r="275" spans="3:3" x14ac:dyDescent="0.3">
      <c r="C275" s="48" t="str">
        <f t="shared" si="6"/>
        <v/>
      </c>
    </row>
    <row r="276" spans="3:3" x14ac:dyDescent="0.3">
      <c r="C276" s="48" t="str">
        <f t="shared" si="6"/>
        <v/>
      </c>
    </row>
    <row r="277" spans="3:3" x14ac:dyDescent="0.3">
      <c r="C277" s="48" t="str">
        <f t="shared" si="6"/>
        <v/>
      </c>
    </row>
    <row r="278" spans="3:3" x14ac:dyDescent="0.3">
      <c r="C278" s="48" t="str">
        <f t="shared" si="6"/>
        <v/>
      </c>
    </row>
    <row r="279" spans="3:3" x14ac:dyDescent="0.3">
      <c r="C279" s="48" t="str">
        <f t="shared" si="6"/>
        <v/>
      </c>
    </row>
    <row r="280" spans="3:3" x14ac:dyDescent="0.3">
      <c r="C280" s="48" t="str">
        <f t="shared" si="6"/>
        <v/>
      </c>
    </row>
    <row r="281" spans="3:3" x14ac:dyDescent="0.3">
      <c r="C281" s="48" t="str">
        <f t="shared" si="6"/>
        <v/>
      </c>
    </row>
    <row r="282" spans="3:3" x14ac:dyDescent="0.3">
      <c r="C282" s="48" t="str">
        <f t="shared" si="6"/>
        <v/>
      </c>
    </row>
    <row r="283" spans="3:3" x14ac:dyDescent="0.3">
      <c r="C283" s="48" t="str">
        <f t="shared" si="6"/>
        <v/>
      </c>
    </row>
    <row r="284" spans="3:3" x14ac:dyDescent="0.3">
      <c r="C284" s="48" t="str">
        <f t="shared" si="6"/>
        <v/>
      </c>
    </row>
    <row r="285" spans="3:3" x14ac:dyDescent="0.3">
      <c r="C285" s="48" t="str">
        <f t="shared" si="6"/>
        <v/>
      </c>
    </row>
    <row r="286" spans="3:3" x14ac:dyDescent="0.3">
      <c r="C286" s="48" t="str">
        <f t="shared" si="6"/>
        <v/>
      </c>
    </row>
    <row r="287" spans="3:3" x14ac:dyDescent="0.3">
      <c r="C287" s="48" t="str">
        <f t="shared" si="6"/>
        <v/>
      </c>
    </row>
    <row r="288" spans="3:3" x14ac:dyDescent="0.3">
      <c r="C288" s="48" t="str">
        <f t="shared" si="6"/>
        <v/>
      </c>
    </row>
    <row r="289" spans="3:3" x14ac:dyDescent="0.3">
      <c r="C289" s="48" t="str">
        <f t="shared" si="6"/>
        <v/>
      </c>
    </row>
    <row r="290" spans="3:3" x14ac:dyDescent="0.3">
      <c r="C290" s="48" t="str">
        <f t="shared" si="6"/>
        <v/>
      </c>
    </row>
    <row r="291" spans="3:3" x14ac:dyDescent="0.3">
      <c r="C291" s="48" t="str">
        <f t="shared" si="6"/>
        <v/>
      </c>
    </row>
    <row r="292" spans="3:3" x14ac:dyDescent="0.3">
      <c r="C292" s="48" t="str">
        <f t="shared" si="6"/>
        <v/>
      </c>
    </row>
    <row r="293" spans="3:3" x14ac:dyDescent="0.3">
      <c r="C293" s="48" t="str">
        <f t="shared" si="6"/>
        <v/>
      </c>
    </row>
    <row r="294" spans="3:3" x14ac:dyDescent="0.3">
      <c r="C294" s="48" t="str">
        <f t="shared" si="6"/>
        <v/>
      </c>
    </row>
    <row r="295" spans="3:3" x14ac:dyDescent="0.3">
      <c r="C295" s="48" t="str">
        <f t="shared" si="6"/>
        <v/>
      </c>
    </row>
    <row r="296" spans="3:3" x14ac:dyDescent="0.3">
      <c r="C296" s="48" t="str">
        <f t="shared" si="6"/>
        <v/>
      </c>
    </row>
    <row r="297" spans="3:3" x14ac:dyDescent="0.3">
      <c r="C297" s="48" t="str">
        <f t="shared" si="6"/>
        <v/>
      </c>
    </row>
    <row r="298" spans="3:3" x14ac:dyDescent="0.3">
      <c r="C298" s="48" t="str">
        <f t="shared" si="6"/>
        <v/>
      </c>
    </row>
    <row r="299" spans="3:3" x14ac:dyDescent="0.3">
      <c r="C299" s="48" t="str">
        <f t="shared" si="6"/>
        <v/>
      </c>
    </row>
    <row r="300" spans="3:3" x14ac:dyDescent="0.3">
      <c r="C300" s="48" t="str">
        <f t="shared" si="6"/>
        <v/>
      </c>
    </row>
    <row r="301" spans="3:3" x14ac:dyDescent="0.3">
      <c r="C301" s="48" t="str">
        <f t="shared" si="6"/>
        <v/>
      </c>
    </row>
    <row r="302" spans="3:3" x14ac:dyDescent="0.3">
      <c r="C302" s="48" t="str">
        <f t="shared" si="6"/>
        <v/>
      </c>
    </row>
    <row r="303" spans="3:3" x14ac:dyDescent="0.3">
      <c r="C303" s="48" t="str">
        <f t="shared" si="6"/>
        <v/>
      </c>
    </row>
    <row r="304" spans="3:3" x14ac:dyDescent="0.3">
      <c r="C304" s="48" t="str">
        <f t="shared" ref="C304:C367" si="7">IF(ISBLANK(B304),"",PROPER(TEXT(B304,"MMMM")))</f>
        <v/>
      </c>
    </row>
    <row r="305" spans="3:3" x14ac:dyDescent="0.3">
      <c r="C305" s="48" t="str">
        <f t="shared" si="7"/>
        <v/>
      </c>
    </row>
    <row r="306" spans="3:3" x14ac:dyDescent="0.3">
      <c r="C306" s="48" t="str">
        <f t="shared" si="7"/>
        <v/>
      </c>
    </row>
    <row r="307" spans="3:3" x14ac:dyDescent="0.3">
      <c r="C307" s="48" t="str">
        <f t="shared" si="7"/>
        <v/>
      </c>
    </row>
    <row r="308" spans="3:3" x14ac:dyDescent="0.3">
      <c r="C308" s="48" t="str">
        <f t="shared" si="7"/>
        <v/>
      </c>
    </row>
    <row r="309" spans="3:3" x14ac:dyDescent="0.3">
      <c r="C309" s="48" t="str">
        <f t="shared" si="7"/>
        <v/>
      </c>
    </row>
    <row r="310" spans="3:3" x14ac:dyDescent="0.3">
      <c r="C310" s="48" t="str">
        <f t="shared" si="7"/>
        <v/>
      </c>
    </row>
    <row r="311" spans="3:3" x14ac:dyDescent="0.3">
      <c r="C311" s="48" t="str">
        <f t="shared" si="7"/>
        <v/>
      </c>
    </row>
    <row r="312" spans="3:3" x14ac:dyDescent="0.3">
      <c r="C312" s="48" t="str">
        <f t="shared" si="7"/>
        <v/>
      </c>
    </row>
    <row r="313" spans="3:3" x14ac:dyDescent="0.3">
      <c r="C313" s="48" t="str">
        <f t="shared" si="7"/>
        <v/>
      </c>
    </row>
    <row r="314" spans="3:3" x14ac:dyDescent="0.3">
      <c r="C314" s="48" t="str">
        <f t="shared" si="7"/>
        <v/>
      </c>
    </row>
    <row r="315" spans="3:3" x14ac:dyDescent="0.3">
      <c r="C315" s="48" t="str">
        <f t="shared" si="7"/>
        <v/>
      </c>
    </row>
    <row r="316" spans="3:3" x14ac:dyDescent="0.3">
      <c r="C316" s="48" t="str">
        <f t="shared" si="7"/>
        <v/>
      </c>
    </row>
    <row r="317" spans="3:3" x14ac:dyDescent="0.3">
      <c r="C317" s="48" t="str">
        <f t="shared" si="7"/>
        <v/>
      </c>
    </row>
    <row r="318" spans="3:3" x14ac:dyDescent="0.3">
      <c r="C318" s="48" t="str">
        <f t="shared" si="7"/>
        <v/>
      </c>
    </row>
    <row r="319" spans="3:3" x14ac:dyDescent="0.3">
      <c r="C319" s="48" t="str">
        <f t="shared" si="7"/>
        <v/>
      </c>
    </row>
    <row r="320" spans="3:3" x14ac:dyDescent="0.3">
      <c r="C320" s="48" t="str">
        <f t="shared" si="7"/>
        <v/>
      </c>
    </row>
    <row r="321" spans="3:3" x14ac:dyDescent="0.3">
      <c r="C321" s="48" t="str">
        <f t="shared" si="7"/>
        <v/>
      </c>
    </row>
    <row r="322" spans="3:3" x14ac:dyDescent="0.3">
      <c r="C322" s="48" t="str">
        <f t="shared" si="7"/>
        <v/>
      </c>
    </row>
    <row r="323" spans="3:3" x14ac:dyDescent="0.3">
      <c r="C323" s="48" t="str">
        <f t="shared" si="7"/>
        <v/>
      </c>
    </row>
    <row r="324" spans="3:3" x14ac:dyDescent="0.3">
      <c r="C324" s="48" t="str">
        <f t="shared" si="7"/>
        <v/>
      </c>
    </row>
    <row r="325" spans="3:3" x14ac:dyDescent="0.3">
      <c r="C325" s="48" t="str">
        <f t="shared" si="7"/>
        <v/>
      </c>
    </row>
    <row r="326" spans="3:3" x14ac:dyDescent="0.3">
      <c r="C326" s="48" t="str">
        <f t="shared" si="7"/>
        <v/>
      </c>
    </row>
    <row r="327" spans="3:3" x14ac:dyDescent="0.3">
      <c r="C327" s="48" t="str">
        <f t="shared" si="7"/>
        <v/>
      </c>
    </row>
    <row r="328" spans="3:3" x14ac:dyDescent="0.3">
      <c r="C328" s="48" t="str">
        <f t="shared" si="7"/>
        <v/>
      </c>
    </row>
    <row r="329" spans="3:3" x14ac:dyDescent="0.3">
      <c r="C329" s="48" t="str">
        <f t="shared" si="7"/>
        <v/>
      </c>
    </row>
    <row r="330" spans="3:3" x14ac:dyDescent="0.3">
      <c r="C330" s="48" t="str">
        <f t="shared" si="7"/>
        <v/>
      </c>
    </row>
    <row r="331" spans="3:3" x14ac:dyDescent="0.3">
      <c r="C331" s="48" t="str">
        <f t="shared" si="7"/>
        <v/>
      </c>
    </row>
    <row r="332" spans="3:3" x14ac:dyDescent="0.3">
      <c r="C332" s="48" t="str">
        <f t="shared" si="7"/>
        <v/>
      </c>
    </row>
    <row r="333" spans="3:3" x14ac:dyDescent="0.3">
      <c r="C333" s="48" t="str">
        <f t="shared" si="7"/>
        <v/>
      </c>
    </row>
    <row r="334" spans="3:3" x14ac:dyDescent="0.3">
      <c r="C334" s="48" t="str">
        <f t="shared" si="7"/>
        <v/>
      </c>
    </row>
    <row r="335" spans="3:3" x14ac:dyDescent="0.3">
      <c r="C335" s="48" t="str">
        <f t="shared" si="7"/>
        <v/>
      </c>
    </row>
    <row r="336" spans="3:3" x14ac:dyDescent="0.3">
      <c r="C336" s="48" t="str">
        <f t="shared" si="7"/>
        <v/>
      </c>
    </row>
    <row r="337" spans="3:3" x14ac:dyDescent="0.3">
      <c r="C337" s="48" t="str">
        <f t="shared" si="7"/>
        <v/>
      </c>
    </row>
    <row r="338" spans="3:3" x14ac:dyDescent="0.3">
      <c r="C338" s="48" t="str">
        <f t="shared" si="7"/>
        <v/>
      </c>
    </row>
    <row r="339" spans="3:3" x14ac:dyDescent="0.3">
      <c r="C339" s="48" t="str">
        <f t="shared" si="7"/>
        <v/>
      </c>
    </row>
    <row r="340" spans="3:3" x14ac:dyDescent="0.3">
      <c r="C340" s="48" t="str">
        <f t="shared" si="7"/>
        <v/>
      </c>
    </row>
    <row r="341" spans="3:3" x14ac:dyDescent="0.3">
      <c r="C341" s="48" t="str">
        <f t="shared" si="7"/>
        <v/>
      </c>
    </row>
    <row r="342" spans="3:3" x14ac:dyDescent="0.3">
      <c r="C342" s="48" t="str">
        <f t="shared" si="7"/>
        <v/>
      </c>
    </row>
    <row r="343" spans="3:3" x14ac:dyDescent="0.3">
      <c r="C343" s="48" t="str">
        <f t="shared" si="7"/>
        <v/>
      </c>
    </row>
    <row r="344" spans="3:3" x14ac:dyDescent="0.3">
      <c r="C344" s="48" t="str">
        <f t="shared" si="7"/>
        <v/>
      </c>
    </row>
    <row r="345" spans="3:3" x14ac:dyDescent="0.3">
      <c r="C345" s="48" t="str">
        <f t="shared" si="7"/>
        <v/>
      </c>
    </row>
    <row r="346" spans="3:3" x14ac:dyDescent="0.3">
      <c r="C346" s="48" t="str">
        <f t="shared" si="7"/>
        <v/>
      </c>
    </row>
    <row r="347" spans="3:3" x14ac:dyDescent="0.3">
      <c r="C347" s="48" t="str">
        <f t="shared" si="7"/>
        <v/>
      </c>
    </row>
    <row r="348" spans="3:3" x14ac:dyDescent="0.3">
      <c r="C348" s="48" t="str">
        <f t="shared" si="7"/>
        <v/>
      </c>
    </row>
    <row r="349" spans="3:3" x14ac:dyDescent="0.3">
      <c r="C349" s="48" t="str">
        <f t="shared" si="7"/>
        <v/>
      </c>
    </row>
    <row r="350" spans="3:3" x14ac:dyDescent="0.3">
      <c r="C350" s="48" t="str">
        <f t="shared" si="7"/>
        <v/>
      </c>
    </row>
    <row r="351" spans="3:3" x14ac:dyDescent="0.3">
      <c r="C351" s="48" t="str">
        <f t="shared" si="7"/>
        <v/>
      </c>
    </row>
    <row r="352" spans="3:3" x14ac:dyDescent="0.3">
      <c r="C352" s="48" t="str">
        <f t="shared" si="7"/>
        <v/>
      </c>
    </row>
    <row r="353" spans="3:3" x14ac:dyDescent="0.3">
      <c r="C353" s="48" t="str">
        <f t="shared" si="7"/>
        <v/>
      </c>
    </row>
    <row r="354" spans="3:3" x14ac:dyDescent="0.3">
      <c r="C354" s="48" t="str">
        <f t="shared" si="7"/>
        <v/>
      </c>
    </row>
    <row r="355" spans="3:3" x14ac:dyDescent="0.3">
      <c r="C355" s="48" t="str">
        <f t="shared" si="7"/>
        <v/>
      </c>
    </row>
    <row r="356" spans="3:3" x14ac:dyDescent="0.3">
      <c r="C356" s="48" t="str">
        <f t="shared" si="7"/>
        <v/>
      </c>
    </row>
    <row r="357" spans="3:3" x14ac:dyDescent="0.3">
      <c r="C357" s="48" t="str">
        <f t="shared" si="7"/>
        <v/>
      </c>
    </row>
    <row r="358" spans="3:3" x14ac:dyDescent="0.3">
      <c r="C358" s="48" t="str">
        <f t="shared" si="7"/>
        <v/>
      </c>
    </row>
    <row r="359" spans="3:3" x14ac:dyDescent="0.3">
      <c r="C359" s="48" t="str">
        <f t="shared" si="7"/>
        <v/>
      </c>
    </row>
    <row r="360" spans="3:3" x14ac:dyDescent="0.3">
      <c r="C360" s="48" t="str">
        <f t="shared" si="7"/>
        <v/>
      </c>
    </row>
    <row r="361" spans="3:3" x14ac:dyDescent="0.3">
      <c r="C361" s="48" t="str">
        <f t="shared" si="7"/>
        <v/>
      </c>
    </row>
    <row r="362" spans="3:3" x14ac:dyDescent="0.3">
      <c r="C362" s="48" t="str">
        <f t="shared" si="7"/>
        <v/>
      </c>
    </row>
    <row r="363" spans="3:3" x14ac:dyDescent="0.3">
      <c r="C363" s="48" t="str">
        <f t="shared" si="7"/>
        <v/>
      </c>
    </row>
    <row r="364" spans="3:3" x14ac:dyDescent="0.3">
      <c r="C364" s="48" t="str">
        <f t="shared" si="7"/>
        <v/>
      </c>
    </row>
    <row r="365" spans="3:3" x14ac:dyDescent="0.3">
      <c r="C365" s="48" t="str">
        <f t="shared" si="7"/>
        <v/>
      </c>
    </row>
    <row r="366" spans="3:3" x14ac:dyDescent="0.3">
      <c r="C366" s="48" t="str">
        <f t="shared" si="7"/>
        <v/>
      </c>
    </row>
    <row r="367" spans="3:3" x14ac:dyDescent="0.3">
      <c r="C367" s="48" t="str">
        <f t="shared" si="7"/>
        <v/>
      </c>
    </row>
    <row r="368" spans="3:3" x14ac:dyDescent="0.3">
      <c r="C368" s="48" t="str">
        <f t="shared" ref="C368:C431" si="8">IF(ISBLANK(B368),"",PROPER(TEXT(B368,"MMMM")))</f>
        <v/>
      </c>
    </row>
    <row r="369" spans="3:3" x14ac:dyDescent="0.3">
      <c r="C369" s="48" t="str">
        <f t="shared" si="8"/>
        <v/>
      </c>
    </row>
    <row r="370" spans="3:3" x14ac:dyDescent="0.3">
      <c r="C370" s="48" t="str">
        <f t="shared" si="8"/>
        <v/>
      </c>
    </row>
    <row r="371" spans="3:3" x14ac:dyDescent="0.3">
      <c r="C371" s="48" t="str">
        <f t="shared" si="8"/>
        <v/>
      </c>
    </row>
    <row r="372" spans="3:3" x14ac:dyDescent="0.3">
      <c r="C372" s="48" t="str">
        <f t="shared" si="8"/>
        <v/>
      </c>
    </row>
    <row r="373" spans="3:3" x14ac:dyDescent="0.3">
      <c r="C373" s="48" t="str">
        <f t="shared" si="8"/>
        <v/>
      </c>
    </row>
    <row r="374" spans="3:3" x14ac:dyDescent="0.3">
      <c r="C374" s="48" t="str">
        <f t="shared" si="8"/>
        <v/>
      </c>
    </row>
    <row r="375" spans="3:3" x14ac:dyDescent="0.3">
      <c r="C375" s="48" t="str">
        <f t="shared" si="8"/>
        <v/>
      </c>
    </row>
    <row r="376" spans="3:3" x14ac:dyDescent="0.3">
      <c r="C376" s="48" t="str">
        <f t="shared" si="8"/>
        <v/>
      </c>
    </row>
    <row r="377" spans="3:3" x14ac:dyDescent="0.3">
      <c r="C377" s="48" t="str">
        <f t="shared" si="8"/>
        <v/>
      </c>
    </row>
    <row r="378" spans="3:3" x14ac:dyDescent="0.3">
      <c r="C378" s="48" t="str">
        <f t="shared" si="8"/>
        <v/>
      </c>
    </row>
    <row r="379" spans="3:3" x14ac:dyDescent="0.3">
      <c r="C379" s="48" t="str">
        <f t="shared" si="8"/>
        <v/>
      </c>
    </row>
    <row r="380" spans="3:3" x14ac:dyDescent="0.3">
      <c r="C380" s="48" t="str">
        <f t="shared" si="8"/>
        <v/>
      </c>
    </row>
    <row r="381" spans="3:3" x14ac:dyDescent="0.3">
      <c r="C381" s="48" t="str">
        <f t="shared" si="8"/>
        <v/>
      </c>
    </row>
    <row r="382" spans="3:3" x14ac:dyDescent="0.3">
      <c r="C382" s="48" t="str">
        <f t="shared" si="8"/>
        <v/>
      </c>
    </row>
    <row r="383" spans="3:3" x14ac:dyDescent="0.3">
      <c r="C383" s="48" t="str">
        <f t="shared" si="8"/>
        <v/>
      </c>
    </row>
    <row r="384" spans="3:3" x14ac:dyDescent="0.3">
      <c r="C384" s="48" t="str">
        <f t="shared" si="8"/>
        <v/>
      </c>
    </row>
    <row r="385" spans="3:3" x14ac:dyDescent="0.3">
      <c r="C385" s="48" t="str">
        <f t="shared" si="8"/>
        <v/>
      </c>
    </row>
    <row r="386" spans="3:3" x14ac:dyDescent="0.3">
      <c r="C386" s="48" t="str">
        <f t="shared" si="8"/>
        <v/>
      </c>
    </row>
    <row r="387" spans="3:3" x14ac:dyDescent="0.3">
      <c r="C387" s="48" t="str">
        <f t="shared" si="8"/>
        <v/>
      </c>
    </row>
    <row r="388" spans="3:3" x14ac:dyDescent="0.3">
      <c r="C388" s="48" t="str">
        <f t="shared" si="8"/>
        <v/>
      </c>
    </row>
    <row r="389" spans="3:3" x14ac:dyDescent="0.3">
      <c r="C389" s="48" t="str">
        <f t="shared" si="8"/>
        <v/>
      </c>
    </row>
    <row r="390" spans="3:3" x14ac:dyDescent="0.3">
      <c r="C390" s="48" t="str">
        <f t="shared" si="8"/>
        <v/>
      </c>
    </row>
    <row r="391" spans="3:3" x14ac:dyDescent="0.3">
      <c r="C391" s="48" t="str">
        <f t="shared" si="8"/>
        <v/>
      </c>
    </row>
    <row r="392" spans="3:3" x14ac:dyDescent="0.3">
      <c r="C392" s="48" t="str">
        <f t="shared" si="8"/>
        <v/>
      </c>
    </row>
    <row r="393" spans="3:3" x14ac:dyDescent="0.3">
      <c r="C393" s="48" t="str">
        <f t="shared" si="8"/>
        <v/>
      </c>
    </row>
    <row r="394" spans="3:3" x14ac:dyDescent="0.3">
      <c r="C394" s="48" t="str">
        <f t="shared" si="8"/>
        <v/>
      </c>
    </row>
    <row r="395" spans="3:3" x14ac:dyDescent="0.3">
      <c r="C395" s="48" t="str">
        <f t="shared" si="8"/>
        <v/>
      </c>
    </row>
    <row r="396" spans="3:3" x14ac:dyDescent="0.3">
      <c r="C396" s="48" t="str">
        <f t="shared" si="8"/>
        <v/>
      </c>
    </row>
    <row r="397" spans="3:3" x14ac:dyDescent="0.3">
      <c r="C397" s="48" t="str">
        <f t="shared" si="8"/>
        <v/>
      </c>
    </row>
    <row r="398" spans="3:3" x14ac:dyDescent="0.3">
      <c r="C398" s="48" t="str">
        <f t="shared" si="8"/>
        <v/>
      </c>
    </row>
    <row r="399" spans="3:3" x14ac:dyDescent="0.3">
      <c r="C399" s="48" t="str">
        <f t="shared" si="8"/>
        <v/>
      </c>
    </row>
    <row r="400" spans="3:3" x14ac:dyDescent="0.3">
      <c r="C400" s="48" t="str">
        <f t="shared" si="8"/>
        <v/>
      </c>
    </row>
    <row r="401" spans="3:3" x14ac:dyDescent="0.3">
      <c r="C401" s="48" t="str">
        <f t="shared" si="8"/>
        <v/>
      </c>
    </row>
    <row r="402" spans="3:3" x14ac:dyDescent="0.3">
      <c r="C402" s="48" t="str">
        <f t="shared" si="8"/>
        <v/>
      </c>
    </row>
    <row r="403" spans="3:3" x14ac:dyDescent="0.3">
      <c r="C403" s="48" t="str">
        <f t="shared" si="8"/>
        <v/>
      </c>
    </row>
    <row r="404" spans="3:3" x14ac:dyDescent="0.3">
      <c r="C404" s="48" t="str">
        <f t="shared" si="8"/>
        <v/>
      </c>
    </row>
    <row r="405" spans="3:3" x14ac:dyDescent="0.3">
      <c r="C405" s="48" t="str">
        <f t="shared" si="8"/>
        <v/>
      </c>
    </row>
    <row r="406" spans="3:3" x14ac:dyDescent="0.3">
      <c r="C406" s="48" t="str">
        <f t="shared" si="8"/>
        <v/>
      </c>
    </row>
    <row r="407" spans="3:3" x14ac:dyDescent="0.3">
      <c r="C407" s="48" t="str">
        <f t="shared" si="8"/>
        <v/>
      </c>
    </row>
    <row r="408" spans="3:3" x14ac:dyDescent="0.3">
      <c r="C408" s="48" t="str">
        <f t="shared" si="8"/>
        <v/>
      </c>
    </row>
    <row r="409" spans="3:3" x14ac:dyDescent="0.3">
      <c r="C409" s="48" t="str">
        <f t="shared" si="8"/>
        <v/>
      </c>
    </row>
    <row r="410" spans="3:3" x14ac:dyDescent="0.3">
      <c r="C410" s="48" t="str">
        <f t="shared" si="8"/>
        <v/>
      </c>
    </row>
    <row r="411" spans="3:3" x14ac:dyDescent="0.3">
      <c r="C411" s="48" t="str">
        <f t="shared" si="8"/>
        <v/>
      </c>
    </row>
    <row r="412" spans="3:3" x14ac:dyDescent="0.3">
      <c r="C412" s="48" t="str">
        <f t="shared" si="8"/>
        <v/>
      </c>
    </row>
    <row r="413" spans="3:3" x14ac:dyDescent="0.3">
      <c r="C413" s="48" t="str">
        <f t="shared" si="8"/>
        <v/>
      </c>
    </row>
    <row r="414" spans="3:3" x14ac:dyDescent="0.3">
      <c r="C414" s="48" t="str">
        <f t="shared" si="8"/>
        <v/>
      </c>
    </row>
    <row r="415" spans="3:3" x14ac:dyDescent="0.3">
      <c r="C415" s="48" t="str">
        <f t="shared" si="8"/>
        <v/>
      </c>
    </row>
    <row r="416" spans="3:3" x14ac:dyDescent="0.3">
      <c r="C416" s="48" t="str">
        <f t="shared" si="8"/>
        <v/>
      </c>
    </row>
    <row r="417" spans="3:3" x14ac:dyDescent="0.3">
      <c r="C417" s="48" t="str">
        <f t="shared" si="8"/>
        <v/>
      </c>
    </row>
    <row r="418" spans="3:3" x14ac:dyDescent="0.3">
      <c r="C418" s="48" t="str">
        <f t="shared" si="8"/>
        <v/>
      </c>
    </row>
    <row r="419" spans="3:3" x14ac:dyDescent="0.3">
      <c r="C419" s="48" t="str">
        <f t="shared" si="8"/>
        <v/>
      </c>
    </row>
    <row r="420" spans="3:3" x14ac:dyDescent="0.3">
      <c r="C420" s="48" t="str">
        <f t="shared" si="8"/>
        <v/>
      </c>
    </row>
    <row r="421" spans="3:3" x14ac:dyDescent="0.3">
      <c r="C421" s="48" t="str">
        <f t="shared" si="8"/>
        <v/>
      </c>
    </row>
    <row r="422" spans="3:3" x14ac:dyDescent="0.3">
      <c r="C422" s="48" t="str">
        <f t="shared" si="8"/>
        <v/>
      </c>
    </row>
    <row r="423" spans="3:3" x14ac:dyDescent="0.3">
      <c r="C423" s="48" t="str">
        <f t="shared" si="8"/>
        <v/>
      </c>
    </row>
    <row r="424" spans="3:3" x14ac:dyDescent="0.3">
      <c r="C424" s="48" t="str">
        <f t="shared" si="8"/>
        <v/>
      </c>
    </row>
    <row r="425" spans="3:3" x14ac:dyDescent="0.3">
      <c r="C425" s="48" t="str">
        <f t="shared" si="8"/>
        <v/>
      </c>
    </row>
    <row r="426" spans="3:3" x14ac:dyDescent="0.3">
      <c r="C426" s="48" t="str">
        <f t="shared" si="8"/>
        <v/>
      </c>
    </row>
    <row r="427" spans="3:3" x14ac:dyDescent="0.3">
      <c r="C427" s="48" t="str">
        <f t="shared" si="8"/>
        <v/>
      </c>
    </row>
    <row r="428" spans="3:3" x14ac:dyDescent="0.3">
      <c r="C428" s="48" t="str">
        <f t="shared" si="8"/>
        <v/>
      </c>
    </row>
    <row r="429" spans="3:3" x14ac:dyDescent="0.3">
      <c r="C429" s="48" t="str">
        <f t="shared" si="8"/>
        <v/>
      </c>
    </row>
    <row r="430" spans="3:3" x14ac:dyDescent="0.3">
      <c r="C430" s="48" t="str">
        <f t="shared" si="8"/>
        <v/>
      </c>
    </row>
    <row r="431" spans="3:3" x14ac:dyDescent="0.3">
      <c r="C431" s="48" t="str">
        <f t="shared" si="8"/>
        <v/>
      </c>
    </row>
    <row r="432" spans="3:3" x14ac:dyDescent="0.3">
      <c r="C432" s="48" t="str">
        <f t="shared" ref="C432:C495" si="9">IF(ISBLANK(B432),"",PROPER(TEXT(B432,"MMMM")))</f>
        <v/>
      </c>
    </row>
    <row r="433" spans="3:3" x14ac:dyDescent="0.3">
      <c r="C433" s="48" t="str">
        <f t="shared" si="9"/>
        <v/>
      </c>
    </row>
    <row r="434" spans="3:3" x14ac:dyDescent="0.3">
      <c r="C434" s="48" t="str">
        <f t="shared" si="9"/>
        <v/>
      </c>
    </row>
    <row r="435" spans="3:3" x14ac:dyDescent="0.3">
      <c r="C435" s="48" t="str">
        <f t="shared" si="9"/>
        <v/>
      </c>
    </row>
    <row r="436" spans="3:3" x14ac:dyDescent="0.3">
      <c r="C436" s="48" t="str">
        <f t="shared" si="9"/>
        <v/>
      </c>
    </row>
    <row r="437" spans="3:3" x14ac:dyDescent="0.3">
      <c r="C437" s="48" t="str">
        <f t="shared" si="9"/>
        <v/>
      </c>
    </row>
    <row r="438" spans="3:3" x14ac:dyDescent="0.3">
      <c r="C438" s="48" t="str">
        <f t="shared" si="9"/>
        <v/>
      </c>
    </row>
    <row r="439" spans="3:3" x14ac:dyDescent="0.3">
      <c r="C439" s="48" t="str">
        <f t="shared" si="9"/>
        <v/>
      </c>
    </row>
    <row r="440" spans="3:3" x14ac:dyDescent="0.3">
      <c r="C440" s="48" t="str">
        <f t="shared" si="9"/>
        <v/>
      </c>
    </row>
    <row r="441" spans="3:3" x14ac:dyDescent="0.3">
      <c r="C441" s="48" t="str">
        <f t="shared" si="9"/>
        <v/>
      </c>
    </row>
    <row r="442" spans="3:3" x14ac:dyDescent="0.3">
      <c r="C442" s="48" t="str">
        <f t="shared" si="9"/>
        <v/>
      </c>
    </row>
    <row r="443" spans="3:3" x14ac:dyDescent="0.3">
      <c r="C443" s="48" t="str">
        <f t="shared" si="9"/>
        <v/>
      </c>
    </row>
    <row r="444" spans="3:3" x14ac:dyDescent="0.3">
      <c r="C444" s="48" t="str">
        <f t="shared" si="9"/>
        <v/>
      </c>
    </row>
    <row r="445" spans="3:3" x14ac:dyDescent="0.3">
      <c r="C445" s="48" t="str">
        <f t="shared" si="9"/>
        <v/>
      </c>
    </row>
    <row r="446" spans="3:3" x14ac:dyDescent="0.3">
      <c r="C446" s="48" t="str">
        <f t="shared" si="9"/>
        <v/>
      </c>
    </row>
    <row r="447" spans="3:3" x14ac:dyDescent="0.3">
      <c r="C447" s="48" t="str">
        <f t="shared" si="9"/>
        <v/>
      </c>
    </row>
    <row r="448" spans="3:3" x14ac:dyDescent="0.3">
      <c r="C448" s="48" t="str">
        <f t="shared" si="9"/>
        <v/>
      </c>
    </row>
    <row r="449" spans="3:3" x14ac:dyDescent="0.3">
      <c r="C449" s="48" t="str">
        <f t="shared" si="9"/>
        <v/>
      </c>
    </row>
    <row r="450" spans="3:3" x14ac:dyDescent="0.3">
      <c r="C450" s="48" t="str">
        <f t="shared" si="9"/>
        <v/>
      </c>
    </row>
    <row r="451" spans="3:3" x14ac:dyDescent="0.3">
      <c r="C451" s="48" t="str">
        <f t="shared" si="9"/>
        <v/>
      </c>
    </row>
    <row r="452" spans="3:3" x14ac:dyDescent="0.3">
      <c r="C452" s="48" t="str">
        <f t="shared" si="9"/>
        <v/>
      </c>
    </row>
    <row r="453" spans="3:3" x14ac:dyDescent="0.3">
      <c r="C453" s="48" t="str">
        <f t="shared" si="9"/>
        <v/>
      </c>
    </row>
    <row r="454" spans="3:3" x14ac:dyDescent="0.3">
      <c r="C454" s="48" t="str">
        <f t="shared" si="9"/>
        <v/>
      </c>
    </row>
    <row r="455" spans="3:3" x14ac:dyDescent="0.3">
      <c r="C455" s="48" t="str">
        <f t="shared" si="9"/>
        <v/>
      </c>
    </row>
    <row r="456" spans="3:3" x14ac:dyDescent="0.3">
      <c r="C456" s="48" t="str">
        <f t="shared" si="9"/>
        <v/>
      </c>
    </row>
    <row r="457" spans="3:3" x14ac:dyDescent="0.3">
      <c r="C457" s="48" t="str">
        <f t="shared" si="9"/>
        <v/>
      </c>
    </row>
    <row r="458" spans="3:3" x14ac:dyDescent="0.3">
      <c r="C458" s="48" t="str">
        <f t="shared" si="9"/>
        <v/>
      </c>
    </row>
    <row r="459" spans="3:3" x14ac:dyDescent="0.3">
      <c r="C459" s="48" t="str">
        <f t="shared" si="9"/>
        <v/>
      </c>
    </row>
    <row r="460" spans="3:3" x14ac:dyDescent="0.3">
      <c r="C460" s="48" t="str">
        <f t="shared" si="9"/>
        <v/>
      </c>
    </row>
    <row r="461" spans="3:3" x14ac:dyDescent="0.3">
      <c r="C461" s="48" t="str">
        <f t="shared" si="9"/>
        <v/>
      </c>
    </row>
    <row r="462" spans="3:3" x14ac:dyDescent="0.3">
      <c r="C462" s="48" t="str">
        <f t="shared" si="9"/>
        <v/>
      </c>
    </row>
    <row r="463" spans="3:3" x14ac:dyDescent="0.3">
      <c r="C463" s="48" t="str">
        <f t="shared" si="9"/>
        <v/>
      </c>
    </row>
    <row r="464" spans="3:3" x14ac:dyDescent="0.3">
      <c r="C464" s="48" t="str">
        <f t="shared" si="9"/>
        <v/>
      </c>
    </row>
    <row r="465" spans="3:3" x14ac:dyDescent="0.3">
      <c r="C465" s="48" t="str">
        <f t="shared" si="9"/>
        <v/>
      </c>
    </row>
    <row r="466" spans="3:3" x14ac:dyDescent="0.3">
      <c r="C466" s="48" t="str">
        <f t="shared" si="9"/>
        <v/>
      </c>
    </row>
    <row r="467" spans="3:3" x14ac:dyDescent="0.3">
      <c r="C467" s="48" t="str">
        <f t="shared" si="9"/>
        <v/>
      </c>
    </row>
    <row r="468" spans="3:3" x14ac:dyDescent="0.3">
      <c r="C468" s="48" t="str">
        <f t="shared" si="9"/>
        <v/>
      </c>
    </row>
    <row r="469" spans="3:3" x14ac:dyDescent="0.3">
      <c r="C469" s="48" t="str">
        <f t="shared" si="9"/>
        <v/>
      </c>
    </row>
    <row r="470" spans="3:3" x14ac:dyDescent="0.3">
      <c r="C470" s="48" t="str">
        <f t="shared" si="9"/>
        <v/>
      </c>
    </row>
    <row r="471" spans="3:3" x14ac:dyDescent="0.3">
      <c r="C471" s="48" t="str">
        <f t="shared" si="9"/>
        <v/>
      </c>
    </row>
    <row r="472" spans="3:3" x14ac:dyDescent="0.3">
      <c r="C472" s="48" t="str">
        <f t="shared" si="9"/>
        <v/>
      </c>
    </row>
    <row r="473" spans="3:3" x14ac:dyDescent="0.3">
      <c r="C473" s="48" t="str">
        <f t="shared" si="9"/>
        <v/>
      </c>
    </row>
    <row r="474" spans="3:3" x14ac:dyDescent="0.3">
      <c r="C474" s="48" t="str">
        <f t="shared" si="9"/>
        <v/>
      </c>
    </row>
    <row r="475" spans="3:3" x14ac:dyDescent="0.3">
      <c r="C475" s="48" t="str">
        <f t="shared" si="9"/>
        <v/>
      </c>
    </row>
    <row r="476" spans="3:3" x14ac:dyDescent="0.3">
      <c r="C476" s="48" t="str">
        <f t="shared" si="9"/>
        <v/>
      </c>
    </row>
    <row r="477" spans="3:3" x14ac:dyDescent="0.3">
      <c r="C477" s="48" t="str">
        <f t="shared" si="9"/>
        <v/>
      </c>
    </row>
    <row r="478" spans="3:3" x14ac:dyDescent="0.3">
      <c r="C478" s="48" t="str">
        <f t="shared" si="9"/>
        <v/>
      </c>
    </row>
    <row r="479" spans="3:3" x14ac:dyDescent="0.3">
      <c r="C479" s="48" t="str">
        <f t="shared" si="9"/>
        <v/>
      </c>
    </row>
    <row r="480" spans="3:3" x14ac:dyDescent="0.3">
      <c r="C480" s="48" t="str">
        <f t="shared" si="9"/>
        <v/>
      </c>
    </row>
    <row r="481" spans="3:3" x14ac:dyDescent="0.3">
      <c r="C481" s="48" t="str">
        <f t="shared" si="9"/>
        <v/>
      </c>
    </row>
    <row r="482" spans="3:3" x14ac:dyDescent="0.3">
      <c r="C482" s="48" t="str">
        <f t="shared" si="9"/>
        <v/>
      </c>
    </row>
    <row r="483" spans="3:3" x14ac:dyDescent="0.3">
      <c r="C483" s="48" t="str">
        <f t="shared" si="9"/>
        <v/>
      </c>
    </row>
    <row r="484" spans="3:3" x14ac:dyDescent="0.3">
      <c r="C484" s="48" t="str">
        <f t="shared" si="9"/>
        <v/>
      </c>
    </row>
    <row r="485" spans="3:3" x14ac:dyDescent="0.3">
      <c r="C485" s="48" t="str">
        <f t="shared" si="9"/>
        <v/>
      </c>
    </row>
    <row r="486" spans="3:3" x14ac:dyDescent="0.3">
      <c r="C486" s="48" t="str">
        <f t="shared" si="9"/>
        <v/>
      </c>
    </row>
    <row r="487" spans="3:3" x14ac:dyDescent="0.3">
      <c r="C487" s="48" t="str">
        <f t="shared" si="9"/>
        <v/>
      </c>
    </row>
    <row r="488" spans="3:3" x14ac:dyDescent="0.3">
      <c r="C488" s="48" t="str">
        <f t="shared" si="9"/>
        <v/>
      </c>
    </row>
    <row r="489" spans="3:3" x14ac:dyDescent="0.3">
      <c r="C489" s="48" t="str">
        <f t="shared" si="9"/>
        <v/>
      </c>
    </row>
    <row r="490" spans="3:3" x14ac:dyDescent="0.3">
      <c r="C490" s="48" t="str">
        <f t="shared" si="9"/>
        <v/>
      </c>
    </row>
    <row r="491" spans="3:3" x14ac:dyDescent="0.3">
      <c r="C491" s="48" t="str">
        <f t="shared" si="9"/>
        <v/>
      </c>
    </row>
    <row r="492" spans="3:3" x14ac:dyDescent="0.3">
      <c r="C492" s="48" t="str">
        <f t="shared" si="9"/>
        <v/>
      </c>
    </row>
    <row r="493" spans="3:3" x14ac:dyDescent="0.3">
      <c r="C493" s="48" t="str">
        <f t="shared" si="9"/>
        <v/>
      </c>
    </row>
    <row r="494" spans="3:3" x14ac:dyDescent="0.3">
      <c r="C494" s="48" t="str">
        <f t="shared" si="9"/>
        <v/>
      </c>
    </row>
    <row r="495" spans="3:3" x14ac:dyDescent="0.3">
      <c r="C495" s="48" t="str">
        <f t="shared" si="9"/>
        <v/>
      </c>
    </row>
    <row r="496" spans="3:3" x14ac:dyDescent="0.3">
      <c r="C496" s="48" t="str">
        <f t="shared" ref="C496:C559" si="10">IF(ISBLANK(B496),"",PROPER(TEXT(B496,"MMMM")))</f>
        <v/>
      </c>
    </row>
    <row r="497" spans="3:3" x14ac:dyDescent="0.3">
      <c r="C497" s="48" t="str">
        <f t="shared" si="10"/>
        <v/>
      </c>
    </row>
    <row r="498" spans="3:3" x14ac:dyDescent="0.3">
      <c r="C498" s="48" t="str">
        <f t="shared" si="10"/>
        <v/>
      </c>
    </row>
    <row r="499" spans="3:3" x14ac:dyDescent="0.3">
      <c r="C499" s="48" t="str">
        <f t="shared" si="10"/>
        <v/>
      </c>
    </row>
    <row r="500" spans="3:3" x14ac:dyDescent="0.3">
      <c r="C500" s="48" t="str">
        <f t="shared" si="10"/>
        <v/>
      </c>
    </row>
    <row r="501" spans="3:3" x14ac:dyDescent="0.3">
      <c r="C501" s="48" t="str">
        <f t="shared" si="10"/>
        <v/>
      </c>
    </row>
    <row r="502" spans="3:3" x14ac:dyDescent="0.3">
      <c r="C502" s="48" t="str">
        <f t="shared" si="10"/>
        <v/>
      </c>
    </row>
    <row r="503" spans="3:3" x14ac:dyDescent="0.3">
      <c r="C503" s="48" t="str">
        <f t="shared" si="10"/>
        <v/>
      </c>
    </row>
    <row r="504" spans="3:3" x14ac:dyDescent="0.3">
      <c r="C504" s="48" t="str">
        <f t="shared" si="10"/>
        <v/>
      </c>
    </row>
    <row r="505" spans="3:3" x14ac:dyDescent="0.3">
      <c r="C505" s="48" t="str">
        <f t="shared" si="10"/>
        <v/>
      </c>
    </row>
    <row r="506" spans="3:3" x14ac:dyDescent="0.3">
      <c r="C506" s="48" t="str">
        <f t="shared" si="10"/>
        <v/>
      </c>
    </row>
    <row r="507" spans="3:3" x14ac:dyDescent="0.3">
      <c r="C507" s="48" t="str">
        <f t="shared" si="10"/>
        <v/>
      </c>
    </row>
    <row r="508" spans="3:3" x14ac:dyDescent="0.3">
      <c r="C508" s="48" t="str">
        <f t="shared" si="10"/>
        <v/>
      </c>
    </row>
    <row r="509" spans="3:3" x14ac:dyDescent="0.3">
      <c r="C509" s="48" t="str">
        <f t="shared" si="10"/>
        <v/>
      </c>
    </row>
    <row r="510" spans="3:3" x14ac:dyDescent="0.3">
      <c r="C510" s="48" t="str">
        <f t="shared" si="10"/>
        <v/>
      </c>
    </row>
    <row r="511" spans="3:3" x14ac:dyDescent="0.3">
      <c r="C511" s="48" t="str">
        <f t="shared" si="10"/>
        <v/>
      </c>
    </row>
    <row r="512" spans="3:3" x14ac:dyDescent="0.3">
      <c r="C512" s="48" t="str">
        <f t="shared" si="10"/>
        <v/>
      </c>
    </row>
    <row r="513" spans="3:3" x14ac:dyDescent="0.3">
      <c r="C513" s="48" t="str">
        <f t="shared" si="10"/>
        <v/>
      </c>
    </row>
    <row r="514" spans="3:3" x14ac:dyDescent="0.3">
      <c r="C514" s="48" t="str">
        <f t="shared" si="10"/>
        <v/>
      </c>
    </row>
    <row r="515" spans="3:3" x14ac:dyDescent="0.3">
      <c r="C515" s="48" t="str">
        <f t="shared" si="10"/>
        <v/>
      </c>
    </row>
    <row r="516" spans="3:3" x14ac:dyDescent="0.3">
      <c r="C516" s="48" t="str">
        <f t="shared" si="10"/>
        <v/>
      </c>
    </row>
    <row r="517" spans="3:3" x14ac:dyDescent="0.3">
      <c r="C517" s="48" t="str">
        <f t="shared" si="10"/>
        <v/>
      </c>
    </row>
    <row r="518" spans="3:3" x14ac:dyDescent="0.3">
      <c r="C518" s="48" t="str">
        <f t="shared" si="10"/>
        <v/>
      </c>
    </row>
    <row r="519" spans="3:3" x14ac:dyDescent="0.3">
      <c r="C519" s="48" t="str">
        <f t="shared" si="10"/>
        <v/>
      </c>
    </row>
    <row r="520" spans="3:3" x14ac:dyDescent="0.3">
      <c r="C520" s="48" t="str">
        <f t="shared" si="10"/>
        <v/>
      </c>
    </row>
    <row r="521" spans="3:3" x14ac:dyDescent="0.3">
      <c r="C521" s="48" t="str">
        <f t="shared" si="10"/>
        <v/>
      </c>
    </row>
    <row r="522" spans="3:3" x14ac:dyDescent="0.3">
      <c r="C522" s="48" t="str">
        <f t="shared" si="10"/>
        <v/>
      </c>
    </row>
    <row r="523" spans="3:3" x14ac:dyDescent="0.3">
      <c r="C523" s="48" t="str">
        <f t="shared" si="10"/>
        <v/>
      </c>
    </row>
    <row r="524" spans="3:3" x14ac:dyDescent="0.3">
      <c r="C524" s="48" t="str">
        <f t="shared" si="10"/>
        <v/>
      </c>
    </row>
    <row r="525" spans="3:3" x14ac:dyDescent="0.3">
      <c r="C525" s="48" t="str">
        <f t="shared" si="10"/>
        <v/>
      </c>
    </row>
    <row r="526" spans="3:3" x14ac:dyDescent="0.3">
      <c r="C526" s="48" t="str">
        <f t="shared" si="10"/>
        <v/>
      </c>
    </row>
    <row r="527" spans="3:3" x14ac:dyDescent="0.3">
      <c r="C527" s="48" t="str">
        <f t="shared" si="10"/>
        <v/>
      </c>
    </row>
    <row r="528" spans="3:3" x14ac:dyDescent="0.3">
      <c r="C528" s="48" t="str">
        <f t="shared" si="10"/>
        <v/>
      </c>
    </row>
    <row r="529" spans="3:3" x14ac:dyDescent="0.3">
      <c r="C529" s="48" t="str">
        <f t="shared" si="10"/>
        <v/>
      </c>
    </row>
    <row r="530" spans="3:3" x14ac:dyDescent="0.3">
      <c r="C530" s="48" t="str">
        <f t="shared" si="10"/>
        <v/>
      </c>
    </row>
    <row r="531" spans="3:3" x14ac:dyDescent="0.3">
      <c r="C531" s="48" t="str">
        <f t="shared" si="10"/>
        <v/>
      </c>
    </row>
    <row r="532" spans="3:3" x14ac:dyDescent="0.3">
      <c r="C532" s="48" t="str">
        <f t="shared" si="10"/>
        <v/>
      </c>
    </row>
    <row r="533" spans="3:3" x14ac:dyDescent="0.3">
      <c r="C533" s="48" t="str">
        <f t="shared" si="10"/>
        <v/>
      </c>
    </row>
    <row r="534" spans="3:3" x14ac:dyDescent="0.3">
      <c r="C534" s="48" t="str">
        <f t="shared" si="10"/>
        <v/>
      </c>
    </row>
    <row r="535" spans="3:3" x14ac:dyDescent="0.3">
      <c r="C535" s="48" t="str">
        <f t="shared" si="10"/>
        <v/>
      </c>
    </row>
    <row r="536" spans="3:3" x14ac:dyDescent="0.3">
      <c r="C536" s="48" t="str">
        <f t="shared" si="10"/>
        <v/>
      </c>
    </row>
    <row r="537" spans="3:3" x14ac:dyDescent="0.3">
      <c r="C537" s="48" t="str">
        <f t="shared" si="10"/>
        <v/>
      </c>
    </row>
    <row r="538" spans="3:3" x14ac:dyDescent="0.3">
      <c r="C538" s="48" t="str">
        <f t="shared" si="10"/>
        <v/>
      </c>
    </row>
    <row r="539" spans="3:3" x14ac:dyDescent="0.3">
      <c r="C539" s="48" t="str">
        <f t="shared" si="10"/>
        <v/>
      </c>
    </row>
    <row r="540" spans="3:3" x14ac:dyDescent="0.3">
      <c r="C540" s="48" t="str">
        <f t="shared" si="10"/>
        <v/>
      </c>
    </row>
    <row r="541" spans="3:3" x14ac:dyDescent="0.3">
      <c r="C541" s="48" t="str">
        <f t="shared" si="10"/>
        <v/>
      </c>
    </row>
    <row r="542" spans="3:3" x14ac:dyDescent="0.3">
      <c r="C542" s="48" t="str">
        <f t="shared" si="10"/>
        <v/>
      </c>
    </row>
    <row r="543" spans="3:3" x14ac:dyDescent="0.3">
      <c r="C543" s="48" t="str">
        <f t="shared" si="10"/>
        <v/>
      </c>
    </row>
    <row r="544" spans="3:3" x14ac:dyDescent="0.3">
      <c r="C544" s="48" t="str">
        <f t="shared" si="10"/>
        <v/>
      </c>
    </row>
    <row r="545" spans="3:3" x14ac:dyDescent="0.3">
      <c r="C545" s="48" t="str">
        <f t="shared" si="10"/>
        <v/>
      </c>
    </row>
    <row r="546" spans="3:3" x14ac:dyDescent="0.3">
      <c r="C546" s="48" t="str">
        <f t="shared" si="10"/>
        <v/>
      </c>
    </row>
    <row r="547" spans="3:3" x14ac:dyDescent="0.3">
      <c r="C547" s="48" t="str">
        <f t="shared" si="10"/>
        <v/>
      </c>
    </row>
    <row r="548" spans="3:3" x14ac:dyDescent="0.3">
      <c r="C548" s="48" t="str">
        <f t="shared" si="10"/>
        <v/>
      </c>
    </row>
    <row r="549" spans="3:3" x14ac:dyDescent="0.3">
      <c r="C549" s="48" t="str">
        <f t="shared" si="10"/>
        <v/>
      </c>
    </row>
    <row r="550" spans="3:3" x14ac:dyDescent="0.3">
      <c r="C550" s="48" t="str">
        <f t="shared" si="10"/>
        <v/>
      </c>
    </row>
    <row r="551" spans="3:3" x14ac:dyDescent="0.3">
      <c r="C551" s="48" t="str">
        <f t="shared" si="10"/>
        <v/>
      </c>
    </row>
    <row r="552" spans="3:3" x14ac:dyDescent="0.3">
      <c r="C552" s="48" t="str">
        <f t="shared" si="10"/>
        <v/>
      </c>
    </row>
    <row r="553" spans="3:3" x14ac:dyDescent="0.3">
      <c r="C553" s="48" t="str">
        <f t="shared" si="10"/>
        <v/>
      </c>
    </row>
    <row r="554" spans="3:3" x14ac:dyDescent="0.3">
      <c r="C554" s="48" t="str">
        <f t="shared" si="10"/>
        <v/>
      </c>
    </row>
    <row r="555" spans="3:3" x14ac:dyDescent="0.3">
      <c r="C555" s="48" t="str">
        <f t="shared" si="10"/>
        <v/>
      </c>
    </row>
    <row r="556" spans="3:3" x14ac:dyDescent="0.3">
      <c r="C556" s="48" t="str">
        <f t="shared" si="10"/>
        <v/>
      </c>
    </row>
    <row r="557" spans="3:3" x14ac:dyDescent="0.3">
      <c r="C557" s="48" t="str">
        <f t="shared" si="10"/>
        <v/>
      </c>
    </row>
    <row r="558" spans="3:3" x14ac:dyDescent="0.3">
      <c r="C558" s="48" t="str">
        <f t="shared" si="10"/>
        <v/>
      </c>
    </row>
    <row r="559" spans="3:3" x14ac:dyDescent="0.3">
      <c r="C559" s="48" t="str">
        <f t="shared" si="10"/>
        <v/>
      </c>
    </row>
    <row r="560" spans="3:3" x14ac:dyDescent="0.3">
      <c r="C560" s="48" t="str">
        <f t="shared" ref="C560:C623" si="11">IF(ISBLANK(B560),"",PROPER(TEXT(B560,"MMMM")))</f>
        <v/>
      </c>
    </row>
    <row r="561" spans="3:3" x14ac:dyDescent="0.3">
      <c r="C561" s="48" t="str">
        <f t="shared" si="11"/>
        <v/>
      </c>
    </row>
    <row r="562" spans="3:3" x14ac:dyDescent="0.3">
      <c r="C562" s="48" t="str">
        <f t="shared" si="11"/>
        <v/>
      </c>
    </row>
    <row r="563" spans="3:3" x14ac:dyDescent="0.3">
      <c r="C563" s="48" t="str">
        <f t="shared" si="11"/>
        <v/>
      </c>
    </row>
    <row r="564" spans="3:3" x14ac:dyDescent="0.3">
      <c r="C564" s="48" t="str">
        <f t="shared" si="11"/>
        <v/>
      </c>
    </row>
    <row r="565" spans="3:3" x14ac:dyDescent="0.3">
      <c r="C565" s="48" t="str">
        <f t="shared" si="11"/>
        <v/>
      </c>
    </row>
    <row r="566" spans="3:3" x14ac:dyDescent="0.3">
      <c r="C566" s="48" t="str">
        <f t="shared" si="11"/>
        <v/>
      </c>
    </row>
    <row r="567" spans="3:3" x14ac:dyDescent="0.3">
      <c r="C567" s="48" t="str">
        <f t="shared" si="11"/>
        <v/>
      </c>
    </row>
    <row r="568" spans="3:3" x14ac:dyDescent="0.3">
      <c r="C568" s="48" t="str">
        <f t="shared" si="11"/>
        <v/>
      </c>
    </row>
    <row r="569" spans="3:3" x14ac:dyDescent="0.3">
      <c r="C569" s="48" t="str">
        <f t="shared" si="11"/>
        <v/>
      </c>
    </row>
    <row r="570" spans="3:3" x14ac:dyDescent="0.3">
      <c r="C570" s="48" t="str">
        <f t="shared" si="11"/>
        <v/>
      </c>
    </row>
    <row r="571" spans="3:3" x14ac:dyDescent="0.3">
      <c r="C571" s="48" t="str">
        <f t="shared" si="11"/>
        <v/>
      </c>
    </row>
    <row r="572" spans="3:3" x14ac:dyDescent="0.3">
      <c r="C572" s="48" t="str">
        <f t="shared" si="11"/>
        <v/>
      </c>
    </row>
    <row r="573" spans="3:3" x14ac:dyDescent="0.3">
      <c r="C573" s="48" t="str">
        <f t="shared" si="11"/>
        <v/>
      </c>
    </row>
    <row r="574" spans="3:3" x14ac:dyDescent="0.3">
      <c r="C574" s="48" t="str">
        <f t="shared" si="11"/>
        <v/>
      </c>
    </row>
    <row r="575" spans="3:3" x14ac:dyDescent="0.3">
      <c r="C575" s="48" t="str">
        <f t="shared" si="11"/>
        <v/>
      </c>
    </row>
    <row r="576" spans="3:3" x14ac:dyDescent="0.3">
      <c r="C576" s="48" t="str">
        <f t="shared" si="11"/>
        <v/>
      </c>
    </row>
    <row r="577" spans="3:3" x14ac:dyDescent="0.3">
      <c r="C577" s="48" t="str">
        <f t="shared" si="11"/>
        <v/>
      </c>
    </row>
    <row r="578" spans="3:3" x14ac:dyDescent="0.3">
      <c r="C578" s="48" t="str">
        <f t="shared" si="11"/>
        <v/>
      </c>
    </row>
    <row r="579" spans="3:3" x14ac:dyDescent="0.3">
      <c r="C579" s="48" t="str">
        <f t="shared" si="11"/>
        <v/>
      </c>
    </row>
    <row r="580" spans="3:3" x14ac:dyDescent="0.3">
      <c r="C580" s="48" t="str">
        <f t="shared" si="11"/>
        <v/>
      </c>
    </row>
    <row r="581" spans="3:3" x14ac:dyDescent="0.3">
      <c r="C581" s="48" t="str">
        <f t="shared" si="11"/>
        <v/>
      </c>
    </row>
    <row r="582" spans="3:3" x14ac:dyDescent="0.3">
      <c r="C582" s="48" t="str">
        <f t="shared" si="11"/>
        <v/>
      </c>
    </row>
    <row r="583" spans="3:3" x14ac:dyDescent="0.3">
      <c r="C583" s="48" t="str">
        <f t="shared" si="11"/>
        <v/>
      </c>
    </row>
    <row r="584" spans="3:3" x14ac:dyDescent="0.3">
      <c r="C584" s="48" t="str">
        <f t="shared" si="11"/>
        <v/>
      </c>
    </row>
    <row r="585" spans="3:3" x14ac:dyDescent="0.3">
      <c r="C585" s="48" t="str">
        <f t="shared" si="11"/>
        <v/>
      </c>
    </row>
    <row r="586" spans="3:3" x14ac:dyDescent="0.3">
      <c r="C586" s="48" t="str">
        <f t="shared" si="11"/>
        <v/>
      </c>
    </row>
    <row r="587" spans="3:3" x14ac:dyDescent="0.3">
      <c r="C587" s="48" t="str">
        <f t="shared" si="11"/>
        <v/>
      </c>
    </row>
    <row r="588" spans="3:3" x14ac:dyDescent="0.3">
      <c r="C588" s="48" t="str">
        <f t="shared" si="11"/>
        <v/>
      </c>
    </row>
    <row r="589" spans="3:3" x14ac:dyDescent="0.3">
      <c r="C589" s="48" t="str">
        <f t="shared" si="11"/>
        <v/>
      </c>
    </row>
    <row r="590" spans="3:3" x14ac:dyDescent="0.3">
      <c r="C590" s="48" t="str">
        <f t="shared" si="11"/>
        <v/>
      </c>
    </row>
    <row r="591" spans="3:3" x14ac:dyDescent="0.3">
      <c r="C591" s="48" t="str">
        <f t="shared" si="11"/>
        <v/>
      </c>
    </row>
    <row r="592" spans="3:3" x14ac:dyDescent="0.3">
      <c r="C592" s="48" t="str">
        <f t="shared" si="11"/>
        <v/>
      </c>
    </row>
    <row r="593" spans="3:3" x14ac:dyDescent="0.3">
      <c r="C593" s="48" t="str">
        <f t="shared" si="11"/>
        <v/>
      </c>
    </row>
    <row r="594" spans="3:3" x14ac:dyDescent="0.3">
      <c r="C594" s="48" t="str">
        <f t="shared" si="11"/>
        <v/>
      </c>
    </row>
    <row r="595" spans="3:3" x14ac:dyDescent="0.3">
      <c r="C595" s="48" t="str">
        <f t="shared" si="11"/>
        <v/>
      </c>
    </row>
    <row r="596" spans="3:3" x14ac:dyDescent="0.3">
      <c r="C596" s="48" t="str">
        <f t="shared" si="11"/>
        <v/>
      </c>
    </row>
    <row r="597" spans="3:3" x14ac:dyDescent="0.3">
      <c r="C597" s="48" t="str">
        <f t="shared" si="11"/>
        <v/>
      </c>
    </row>
    <row r="598" spans="3:3" x14ac:dyDescent="0.3">
      <c r="C598" s="48" t="str">
        <f t="shared" si="11"/>
        <v/>
      </c>
    </row>
    <row r="599" spans="3:3" x14ac:dyDescent="0.3">
      <c r="C599" s="48" t="str">
        <f t="shared" si="11"/>
        <v/>
      </c>
    </row>
    <row r="600" spans="3:3" x14ac:dyDescent="0.3">
      <c r="C600" s="48" t="str">
        <f t="shared" si="11"/>
        <v/>
      </c>
    </row>
    <row r="601" spans="3:3" x14ac:dyDescent="0.3">
      <c r="C601" s="48" t="str">
        <f t="shared" si="11"/>
        <v/>
      </c>
    </row>
    <row r="602" spans="3:3" x14ac:dyDescent="0.3">
      <c r="C602" s="48" t="str">
        <f t="shared" si="11"/>
        <v/>
      </c>
    </row>
    <row r="603" spans="3:3" x14ac:dyDescent="0.3">
      <c r="C603" s="48" t="str">
        <f t="shared" si="11"/>
        <v/>
      </c>
    </row>
    <row r="604" spans="3:3" x14ac:dyDescent="0.3">
      <c r="C604" s="48" t="str">
        <f t="shared" si="11"/>
        <v/>
      </c>
    </row>
    <row r="605" spans="3:3" x14ac:dyDescent="0.3">
      <c r="C605" s="48" t="str">
        <f t="shared" si="11"/>
        <v/>
      </c>
    </row>
    <row r="606" spans="3:3" x14ac:dyDescent="0.3">
      <c r="C606" s="48" t="str">
        <f t="shared" si="11"/>
        <v/>
      </c>
    </row>
    <row r="607" spans="3:3" x14ac:dyDescent="0.3">
      <c r="C607" s="48" t="str">
        <f t="shared" si="11"/>
        <v/>
      </c>
    </row>
    <row r="608" spans="3:3" x14ac:dyDescent="0.3">
      <c r="C608" s="48" t="str">
        <f t="shared" si="11"/>
        <v/>
      </c>
    </row>
    <row r="609" spans="3:3" x14ac:dyDescent="0.3">
      <c r="C609" s="48" t="str">
        <f t="shared" si="11"/>
        <v/>
      </c>
    </row>
    <row r="610" spans="3:3" x14ac:dyDescent="0.3">
      <c r="C610" s="48" t="str">
        <f t="shared" si="11"/>
        <v/>
      </c>
    </row>
    <row r="611" spans="3:3" x14ac:dyDescent="0.3">
      <c r="C611" s="48" t="str">
        <f t="shared" si="11"/>
        <v/>
      </c>
    </row>
    <row r="612" spans="3:3" x14ac:dyDescent="0.3">
      <c r="C612" s="48" t="str">
        <f t="shared" si="11"/>
        <v/>
      </c>
    </row>
    <row r="613" spans="3:3" x14ac:dyDescent="0.3">
      <c r="C613" s="48" t="str">
        <f t="shared" si="11"/>
        <v/>
      </c>
    </row>
    <row r="614" spans="3:3" x14ac:dyDescent="0.3">
      <c r="C614" s="48" t="str">
        <f t="shared" si="11"/>
        <v/>
      </c>
    </row>
    <row r="615" spans="3:3" x14ac:dyDescent="0.3">
      <c r="C615" s="48" t="str">
        <f t="shared" si="11"/>
        <v/>
      </c>
    </row>
    <row r="616" spans="3:3" x14ac:dyDescent="0.3">
      <c r="C616" s="48" t="str">
        <f t="shared" si="11"/>
        <v/>
      </c>
    </row>
    <row r="617" spans="3:3" x14ac:dyDescent="0.3">
      <c r="C617" s="48" t="str">
        <f t="shared" si="11"/>
        <v/>
      </c>
    </row>
    <row r="618" spans="3:3" x14ac:dyDescent="0.3">
      <c r="C618" s="48" t="str">
        <f t="shared" si="11"/>
        <v/>
      </c>
    </row>
    <row r="619" spans="3:3" x14ac:dyDescent="0.3">
      <c r="C619" s="48" t="str">
        <f t="shared" si="11"/>
        <v/>
      </c>
    </row>
    <row r="620" spans="3:3" x14ac:dyDescent="0.3">
      <c r="C620" s="48" t="str">
        <f t="shared" si="11"/>
        <v/>
      </c>
    </row>
    <row r="621" spans="3:3" x14ac:dyDescent="0.3">
      <c r="C621" s="48" t="str">
        <f t="shared" si="11"/>
        <v/>
      </c>
    </row>
    <row r="622" spans="3:3" x14ac:dyDescent="0.3">
      <c r="C622" s="48" t="str">
        <f t="shared" si="11"/>
        <v/>
      </c>
    </row>
    <row r="623" spans="3:3" x14ac:dyDescent="0.3">
      <c r="C623" s="48" t="str">
        <f t="shared" si="11"/>
        <v/>
      </c>
    </row>
    <row r="624" spans="3:3" x14ac:dyDescent="0.3">
      <c r="C624" s="48" t="str">
        <f t="shared" ref="C624:C672" si="12">IF(ISBLANK(B624),"",PROPER(TEXT(B624,"MMMM")))</f>
        <v/>
      </c>
    </row>
    <row r="625" spans="3:3" x14ac:dyDescent="0.3">
      <c r="C625" s="48" t="str">
        <f t="shared" si="12"/>
        <v/>
      </c>
    </row>
    <row r="626" spans="3:3" x14ac:dyDescent="0.3">
      <c r="C626" s="48" t="str">
        <f t="shared" si="12"/>
        <v/>
      </c>
    </row>
    <row r="627" spans="3:3" x14ac:dyDescent="0.3">
      <c r="C627" s="48" t="str">
        <f t="shared" si="12"/>
        <v/>
      </c>
    </row>
    <row r="628" spans="3:3" x14ac:dyDescent="0.3">
      <c r="C628" s="48" t="str">
        <f t="shared" si="12"/>
        <v/>
      </c>
    </row>
    <row r="629" spans="3:3" x14ac:dyDescent="0.3">
      <c r="C629" s="48" t="str">
        <f t="shared" si="12"/>
        <v/>
      </c>
    </row>
    <row r="630" spans="3:3" x14ac:dyDescent="0.3">
      <c r="C630" s="48" t="str">
        <f t="shared" si="12"/>
        <v/>
      </c>
    </row>
    <row r="631" spans="3:3" x14ac:dyDescent="0.3">
      <c r="C631" s="48" t="str">
        <f t="shared" si="12"/>
        <v/>
      </c>
    </row>
    <row r="632" spans="3:3" x14ac:dyDescent="0.3">
      <c r="C632" s="48" t="str">
        <f t="shared" si="12"/>
        <v/>
      </c>
    </row>
    <row r="633" spans="3:3" x14ac:dyDescent="0.3">
      <c r="C633" s="48" t="str">
        <f t="shared" si="12"/>
        <v/>
      </c>
    </row>
    <row r="634" spans="3:3" x14ac:dyDescent="0.3">
      <c r="C634" s="48" t="str">
        <f t="shared" si="12"/>
        <v/>
      </c>
    </row>
    <row r="635" spans="3:3" x14ac:dyDescent="0.3">
      <c r="C635" s="48" t="str">
        <f t="shared" si="12"/>
        <v/>
      </c>
    </row>
    <row r="636" spans="3:3" x14ac:dyDescent="0.3">
      <c r="C636" s="48" t="str">
        <f t="shared" si="12"/>
        <v/>
      </c>
    </row>
    <row r="637" spans="3:3" x14ac:dyDescent="0.3">
      <c r="C637" s="48" t="str">
        <f t="shared" si="12"/>
        <v/>
      </c>
    </row>
    <row r="638" spans="3:3" x14ac:dyDescent="0.3">
      <c r="C638" s="48" t="str">
        <f t="shared" si="12"/>
        <v/>
      </c>
    </row>
    <row r="639" spans="3:3" x14ac:dyDescent="0.3">
      <c r="C639" s="48" t="str">
        <f t="shared" si="12"/>
        <v/>
      </c>
    </row>
    <row r="640" spans="3:3" x14ac:dyDescent="0.3">
      <c r="C640" s="48" t="str">
        <f t="shared" si="12"/>
        <v/>
      </c>
    </row>
    <row r="641" spans="3:3" x14ac:dyDescent="0.3">
      <c r="C641" s="48" t="str">
        <f t="shared" si="12"/>
        <v/>
      </c>
    </row>
    <row r="642" spans="3:3" x14ac:dyDescent="0.3">
      <c r="C642" s="48" t="str">
        <f t="shared" si="12"/>
        <v/>
      </c>
    </row>
    <row r="643" spans="3:3" x14ac:dyDescent="0.3">
      <c r="C643" s="48" t="str">
        <f t="shared" si="12"/>
        <v/>
      </c>
    </row>
    <row r="644" spans="3:3" x14ac:dyDescent="0.3">
      <c r="C644" s="48" t="str">
        <f t="shared" si="12"/>
        <v/>
      </c>
    </row>
    <row r="645" spans="3:3" x14ac:dyDescent="0.3">
      <c r="C645" s="48" t="str">
        <f t="shared" si="12"/>
        <v/>
      </c>
    </row>
    <row r="646" spans="3:3" x14ac:dyDescent="0.3">
      <c r="C646" s="48" t="str">
        <f t="shared" si="12"/>
        <v/>
      </c>
    </row>
    <row r="647" spans="3:3" x14ac:dyDescent="0.3">
      <c r="C647" s="48" t="str">
        <f t="shared" si="12"/>
        <v/>
      </c>
    </row>
    <row r="648" spans="3:3" x14ac:dyDescent="0.3">
      <c r="C648" s="48" t="str">
        <f t="shared" si="12"/>
        <v/>
      </c>
    </row>
    <row r="649" spans="3:3" x14ac:dyDescent="0.3">
      <c r="C649" s="48" t="str">
        <f t="shared" si="12"/>
        <v/>
      </c>
    </row>
    <row r="650" spans="3:3" x14ac:dyDescent="0.3">
      <c r="C650" s="48" t="str">
        <f t="shared" si="12"/>
        <v/>
      </c>
    </row>
    <row r="651" spans="3:3" x14ac:dyDescent="0.3">
      <c r="C651" s="48" t="str">
        <f t="shared" si="12"/>
        <v/>
      </c>
    </row>
    <row r="652" spans="3:3" x14ac:dyDescent="0.3">
      <c r="C652" s="48" t="str">
        <f t="shared" si="12"/>
        <v/>
      </c>
    </row>
    <row r="653" spans="3:3" x14ac:dyDescent="0.3">
      <c r="C653" s="48" t="str">
        <f t="shared" si="12"/>
        <v/>
      </c>
    </row>
    <row r="654" spans="3:3" x14ac:dyDescent="0.3">
      <c r="C654" s="48" t="str">
        <f t="shared" si="12"/>
        <v/>
      </c>
    </row>
    <row r="655" spans="3:3" x14ac:dyDescent="0.3">
      <c r="C655" s="48" t="str">
        <f t="shared" si="12"/>
        <v/>
      </c>
    </row>
    <row r="656" spans="3:3" x14ac:dyDescent="0.3">
      <c r="C656" s="48" t="str">
        <f t="shared" si="12"/>
        <v/>
      </c>
    </row>
    <row r="657" spans="3:3" x14ac:dyDescent="0.3">
      <c r="C657" s="48" t="str">
        <f t="shared" si="12"/>
        <v/>
      </c>
    </row>
    <row r="658" spans="3:3" x14ac:dyDescent="0.3">
      <c r="C658" s="48" t="str">
        <f t="shared" si="12"/>
        <v/>
      </c>
    </row>
    <row r="659" spans="3:3" x14ac:dyDescent="0.3">
      <c r="C659" s="48" t="str">
        <f t="shared" si="12"/>
        <v/>
      </c>
    </row>
    <row r="660" spans="3:3" x14ac:dyDescent="0.3">
      <c r="C660" s="48" t="str">
        <f t="shared" si="12"/>
        <v/>
      </c>
    </row>
    <row r="661" spans="3:3" x14ac:dyDescent="0.3">
      <c r="C661" s="48" t="str">
        <f t="shared" si="12"/>
        <v/>
      </c>
    </row>
    <row r="662" spans="3:3" x14ac:dyDescent="0.3">
      <c r="C662" s="48" t="str">
        <f t="shared" si="12"/>
        <v/>
      </c>
    </row>
    <row r="663" spans="3:3" x14ac:dyDescent="0.3">
      <c r="C663" s="48" t="str">
        <f t="shared" si="12"/>
        <v/>
      </c>
    </row>
    <row r="664" spans="3:3" x14ac:dyDescent="0.3">
      <c r="C664" s="48" t="str">
        <f t="shared" si="12"/>
        <v/>
      </c>
    </row>
    <row r="665" spans="3:3" x14ac:dyDescent="0.3">
      <c r="C665" s="48" t="str">
        <f t="shared" si="12"/>
        <v/>
      </c>
    </row>
    <row r="666" spans="3:3" x14ac:dyDescent="0.3">
      <c r="C666" s="48" t="str">
        <f t="shared" si="12"/>
        <v/>
      </c>
    </row>
    <row r="667" spans="3:3" x14ac:dyDescent="0.3">
      <c r="C667" s="48" t="str">
        <f t="shared" si="12"/>
        <v/>
      </c>
    </row>
    <row r="668" spans="3:3" x14ac:dyDescent="0.3">
      <c r="C668" s="48" t="str">
        <f t="shared" si="12"/>
        <v/>
      </c>
    </row>
    <row r="669" spans="3:3" x14ac:dyDescent="0.3">
      <c r="C669" s="48" t="str">
        <f t="shared" si="12"/>
        <v/>
      </c>
    </row>
    <row r="670" spans="3:3" x14ac:dyDescent="0.3">
      <c r="C670" s="48" t="str">
        <f t="shared" si="12"/>
        <v/>
      </c>
    </row>
    <row r="671" spans="3:3" x14ac:dyDescent="0.3">
      <c r="C671" s="48" t="str">
        <f t="shared" si="12"/>
        <v/>
      </c>
    </row>
    <row r="672" spans="3:3" x14ac:dyDescent="0.3">
      <c r="C672" s="48" t="str">
        <f t="shared" si="12"/>
        <v/>
      </c>
    </row>
  </sheetData>
  <phoneticPr fontId="7" type="noConversion"/>
  <conditionalFormatting sqref="C13">
    <cfRule type="cellIs" dxfId="1" priority="1" operator="equal">
      <formula>0</formula>
    </cfRule>
    <cfRule type="cellIs" dxfId="0" priority="2" operator="notEqual">
      <formula>0</formula>
    </cfRule>
  </conditionalFormatting>
  <dataValidations count="4">
    <dataValidation type="list" allowBlank="1" showInputMessage="1" showErrorMessage="1" sqref="C3" xr:uid="{60D5F252-CE9E-4A5F-916C-4BCED7BE4850}">
      <formula1>"Despesas, Receita Líquida"</formula1>
    </dataValidation>
    <dataValidation type="list" allowBlank="1" showInputMessage="1" showErrorMessage="1" sqref="E17:E144" xr:uid="{E4F2BDDC-1223-4DFF-8087-7B85DF038B73}">
      <formula1>INDIRECT(D17)</formula1>
    </dataValidation>
    <dataValidation type="list" allowBlank="1" showInputMessage="1" showErrorMessage="1" sqref="D17:D144" xr:uid="{4E564D7B-00FF-4101-8D9D-5EA4D9B1919A}">
      <formula1>"Receitas, Perdas, Investimentos, Despesas, Transferir"</formula1>
    </dataValidation>
    <dataValidation type="list" allowBlank="1" showInputMessage="1" showErrorMessage="1" sqref="F17:F144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C2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4" customWidth="1"/>
    <col min="2" max="13" width="15" style="4" customWidth="1"/>
    <col min="14" max="14" width="5.7109375" style="4" customWidth="1"/>
    <col min="15" max="15" width="4.28515625" style="4" customWidth="1"/>
    <col min="16" max="16384" width="9.140625" style="4"/>
  </cols>
  <sheetData>
    <row r="2" spans="1:13" ht="17.850000000000001" customHeight="1" x14ac:dyDescent="0.3">
      <c r="B2" s="62" t="str">
        <f>PROPER(TEXT("01/01","MMMM"))</f>
        <v>Janeiro</v>
      </c>
      <c r="C2" s="62" t="str">
        <f>PROPER(TEXT("01/02","MMMM"))</f>
        <v>Fevereiro</v>
      </c>
      <c r="D2" s="62" t="str">
        <f>PROPER(TEXT("01/03","MMMM"))</f>
        <v>Março</v>
      </c>
      <c r="E2" s="62" t="str">
        <f>PROPER(TEXT("01/04","MMMM"))</f>
        <v>Abril</v>
      </c>
      <c r="F2" s="62" t="str">
        <f>PROPER(TEXT("01/05","MMMM"))</f>
        <v>Maio</v>
      </c>
      <c r="G2" s="62" t="str">
        <f>PROPER(TEXT("01/06","MMMM"))</f>
        <v>Junho</v>
      </c>
      <c r="H2" s="62" t="str">
        <f>PROPER(TEXT("01/07","MMMM"))</f>
        <v>Julho</v>
      </c>
      <c r="I2" s="62" t="str">
        <f>PROPER(TEXT("01/08","MMMM"))</f>
        <v>Agosto</v>
      </c>
      <c r="J2" s="62" t="str">
        <f>PROPER(TEXT("01/09","MMMM"))</f>
        <v>Setembro</v>
      </c>
      <c r="K2" s="62" t="str">
        <f>PROPER(TEXT("01/10","MMMM"))</f>
        <v>Outubro</v>
      </c>
      <c r="L2" s="62" t="str">
        <f>PROPER(TEXT("01/11","MMMM"))</f>
        <v>Novembro</v>
      </c>
      <c r="M2" s="62" t="str">
        <f>PROPER(TEXT("01/12","MMMM"))</f>
        <v>Dezembro</v>
      </c>
    </row>
    <row r="3" spans="1:13" ht="18" customHeight="1" x14ac:dyDescent="0.3">
      <c r="A3" s="59" t="s">
        <v>29</v>
      </c>
      <c r="B3" s="3">
        <f>SUMIFS(Tabela1[Valor],Tabela1[Mês],B$2,Tabela1[Categoria],$A3)</f>
        <v>150</v>
      </c>
      <c r="C3" s="3">
        <f>SUMIFS(Tabela1[Valor],Tabela1[Mês],C$2,Tabela1[Categoria],$A3)</f>
        <v>0</v>
      </c>
      <c r="D3" s="3">
        <f>SUMIFS(Tabela1[Valor],Tabela1[Mês],D$2,Tabela1[Categoria],$A3)</f>
        <v>0</v>
      </c>
      <c r="E3" s="3">
        <f>SUMIFS(Tabela1[Valor],Tabela1[Mês],E$2,Tabela1[Categoria],$A3)</f>
        <v>0</v>
      </c>
      <c r="F3" s="3">
        <f>SUMIFS(Tabela1[Valor],Tabela1[Mês],F$2,Tabela1[Categoria],$A3)</f>
        <v>0</v>
      </c>
      <c r="G3" s="3">
        <f>SUMIFS(Tabela1[Valor],Tabela1[Mês],G$2,Tabela1[Categoria],$A3)</f>
        <v>0</v>
      </c>
      <c r="H3" s="3">
        <f>SUMIFS(Tabela1[Valor],Tabela1[Mês],H$2,Tabela1[Categoria],$A3)</f>
        <v>0</v>
      </c>
      <c r="I3" s="3">
        <f>SUMIFS(Tabela1[Valor],Tabela1[Mês],I$2,Tabela1[Categoria],$A3)</f>
        <v>0</v>
      </c>
      <c r="J3" s="3">
        <f>SUMIFS(Tabela1[Valor],Tabela1[Mês],J$2,Tabela1[Categoria],$A3)</f>
        <v>0</v>
      </c>
      <c r="K3" s="3">
        <f>SUMIFS(Tabela1[Valor],Tabela1[Mês],K$2,Tabela1[Categoria],$A3)</f>
        <v>0</v>
      </c>
      <c r="L3" s="3">
        <f>SUMIFS(Tabela1[Valor],Tabela1[Mês],L$2,Tabela1[Categoria],$A3)</f>
        <v>0</v>
      </c>
      <c r="M3" s="3">
        <f>SUMIFS(Tabela1[Valor],Tabela1[Mês],M$2,Tabela1[Categoria],$A3)</f>
        <v>0</v>
      </c>
    </row>
    <row r="4" spans="1:13" ht="18" customHeight="1" x14ac:dyDescent="0.3">
      <c r="A4" s="59" t="s">
        <v>39</v>
      </c>
      <c r="B4" s="3">
        <f>SUMIFS(Tabela1[Valor],Tabela1[Mês],B$2,Tabela1[Categoria],$A4)</f>
        <v>0</v>
      </c>
      <c r="C4" s="3">
        <f>SUMIFS(Tabela1[Valor],Tabela1[Mês],C$2,Tabela1[Categoria],$A4)</f>
        <v>0</v>
      </c>
      <c r="D4" s="3">
        <f>SUMIFS(Tabela1[Valor],Tabela1[Mês],D$2,Tabela1[Categoria],$A4)</f>
        <v>0</v>
      </c>
      <c r="E4" s="3">
        <f>SUMIFS(Tabela1[Valor],Tabela1[Mês],E$2,Tabela1[Categoria],$A4)</f>
        <v>0</v>
      </c>
      <c r="F4" s="3">
        <f>SUMIFS(Tabela1[Valor],Tabela1[Mês],F$2,Tabela1[Categoria],$A4)</f>
        <v>0</v>
      </c>
      <c r="G4" s="3">
        <f>SUMIFS(Tabela1[Valor],Tabela1[Mês],G$2,Tabela1[Categoria],$A4)</f>
        <v>0</v>
      </c>
      <c r="H4" s="3">
        <f>SUMIFS(Tabela1[Valor],Tabela1[Mês],H$2,Tabela1[Categoria],$A4)</f>
        <v>0</v>
      </c>
      <c r="I4" s="3">
        <f>SUMIFS(Tabela1[Valor],Tabela1[Mês],I$2,Tabela1[Categoria],$A4)</f>
        <v>0</v>
      </c>
      <c r="J4" s="3">
        <f>SUMIFS(Tabela1[Valor],Tabela1[Mês],J$2,Tabela1[Categoria],$A4)</f>
        <v>0</v>
      </c>
      <c r="K4" s="3">
        <f>SUMIFS(Tabela1[Valor],Tabela1[Mês],K$2,Tabela1[Categoria],$A4)</f>
        <v>0</v>
      </c>
      <c r="L4" s="3">
        <f>SUMIFS(Tabela1[Valor],Tabela1[Mês],L$2,Tabela1[Categoria],$A4)</f>
        <v>0</v>
      </c>
      <c r="M4" s="3">
        <f>SUMIFS(Tabela1[Valor],Tabela1[Mês],M$2,Tabela1[Categoria],$A4)</f>
        <v>0</v>
      </c>
    </row>
    <row r="5" spans="1:13" ht="18" customHeight="1" x14ac:dyDescent="0.3">
      <c r="A5" s="59" t="s">
        <v>53</v>
      </c>
      <c r="B5" s="3">
        <f>SUMIFS(Tabela1[Valor],Tabela1[Mês],B$2,Tabela1[Categoria],$A5)</f>
        <v>0</v>
      </c>
      <c r="C5" s="3">
        <f>SUMIFS(Tabela1[Valor],Tabela1[Mês],C$2,Tabela1[Categoria],$A5)</f>
        <v>0</v>
      </c>
      <c r="D5" s="3">
        <f>SUMIFS(Tabela1[Valor],Tabela1[Mês],D$2,Tabela1[Categoria],$A5)</f>
        <v>0</v>
      </c>
      <c r="E5" s="3">
        <f>SUMIFS(Tabela1[Valor],Tabela1[Mês],E$2,Tabela1[Categoria],$A5)</f>
        <v>0</v>
      </c>
      <c r="F5" s="3">
        <f>SUMIFS(Tabela1[Valor],Tabela1[Mês],F$2,Tabela1[Categoria],$A5)</f>
        <v>0</v>
      </c>
      <c r="G5" s="3">
        <f>SUMIFS(Tabela1[Valor],Tabela1[Mês],G$2,Tabela1[Categoria],$A5)</f>
        <v>0</v>
      </c>
      <c r="H5" s="3">
        <f>SUMIFS(Tabela1[Valor],Tabela1[Mês],H$2,Tabela1[Categoria],$A5)</f>
        <v>0</v>
      </c>
      <c r="I5" s="3">
        <f>SUMIFS(Tabela1[Valor],Tabela1[Mês],I$2,Tabela1[Categoria],$A5)</f>
        <v>0</v>
      </c>
      <c r="J5" s="3">
        <f>SUMIFS(Tabela1[Valor],Tabela1[Mês],J$2,Tabela1[Categoria],$A5)</f>
        <v>0</v>
      </c>
      <c r="K5" s="3">
        <f>SUMIFS(Tabela1[Valor],Tabela1[Mês],K$2,Tabela1[Categoria],$A5)</f>
        <v>0</v>
      </c>
      <c r="L5" s="3">
        <f>SUMIFS(Tabela1[Valor],Tabela1[Mês],L$2,Tabela1[Categoria],$A5)</f>
        <v>0</v>
      </c>
      <c r="M5" s="3">
        <f>SUMIFS(Tabela1[Valor],Tabela1[Mês],M$2,Tabela1[Categoria],$A5)</f>
        <v>0</v>
      </c>
    </row>
    <row r="6" spans="1:13" ht="18" customHeight="1" x14ac:dyDescent="0.3">
      <c r="A6" s="59" t="s">
        <v>52</v>
      </c>
      <c r="B6" s="3">
        <f>SUMIFS(Tabela1[Valor],Tabela1[Mês],B$2,Tabela1[Categoria],$A6)</f>
        <v>0</v>
      </c>
      <c r="C6" s="3">
        <f>SUMIFS(Tabela1[Valor],Tabela1[Mês],C$2,Tabela1[Categoria],$A6)</f>
        <v>0</v>
      </c>
      <c r="D6" s="3">
        <f>SUMIFS(Tabela1[Valor],Tabela1[Mês],D$2,Tabela1[Categoria],$A6)</f>
        <v>0</v>
      </c>
      <c r="E6" s="3">
        <f>SUMIFS(Tabela1[Valor],Tabela1[Mês],E$2,Tabela1[Categoria],$A6)</f>
        <v>0</v>
      </c>
      <c r="F6" s="3">
        <f>SUMIFS(Tabela1[Valor],Tabela1[Mês],F$2,Tabela1[Categoria],$A6)</f>
        <v>0</v>
      </c>
      <c r="G6" s="3">
        <f>SUMIFS(Tabela1[Valor],Tabela1[Mês],G$2,Tabela1[Categoria],$A6)</f>
        <v>0</v>
      </c>
      <c r="H6" s="3">
        <f>SUMIFS(Tabela1[Valor],Tabela1[Mês],H$2,Tabela1[Categoria],$A6)</f>
        <v>0</v>
      </c>
      <c r="I6" s="3">
        <f>SUMIFS(Tabela1[Valor],Tabela1[Mês],I$2,Tabela1[Categoria],$A6)</f>
        <v>0</v>
      </c>
      <c r="J6" s="3">
        <f>SUMIFS(Tabela1[Valor],Tabela1[Mês],J$2,Tabela1[Categoria],$A6)</f>
        <v>0</v>
      </c>
      <c r="K6" s="3">
        <f>SUMIFS(Tabela1[Valor],Tabela1[Mês],K$2,Tabela1[Categoria],$A6)</f>
        <v>0</v>
      </c>
      <c r="L6" s="3">
        <f>SUMIFS(Tabela1[Valor],Tabela1[Mês],L$2,Tabela1[Categoria],$A6)</f>
        <v>0</v>
      </c>
      <c r="M6" s="3">
        <f>SUMIFS(Tabela1[Valor],Tabela1[Mês],M$2,Tabela1[Categoria],$A6)</f>
        <v>0</v>
      </c>
    </row>
    <row r="7" spans="1:13" ht="18" customHeight="1" x14ac:dyDescent="0.3">
      <c r="A7" s="59" t="s">
        <v>49</v>
      </c>
      <c r="B7" s="3">
        <f>SUMIFS(Tabela1[Valor],Tabela1[Mês],B$2,Tabela1[Categoria],$A7)</f>
        <v>0</v>
      </c>
      <c r="C7" s="3">
        <f>SUMIFS(Tabela1[Valor],Tabela1[Mês],C$2,Tabela1[Categoria],$A7)</f>
        <v>0</v>
      </c>
      <c r="D7" s="3">
        <f>SUMIFS(Tabela1[Valor],Tabela1[Mês],D$2,Tabela1[Categoria],$A7)</f>
        <v>0</v>
      </c>
      <c r="E7" s="3">
        <f>SUMIFS(Tabela1[Valor],Tabela1[Mês],E$2,Tabela1[Categoria],$A7)</f>
        <v>0</v>
      </c>
      <c r="F7" s="3">
        <f>SUMIFS(Tabela1[Valor],Tabela1[Mês],F$2,Tabela1[Categoria],$A7)</f>
        <v>0</v>
      </c>
      <c r="G7" s="3">
        <f>SUMIFS(Tabela1[Valor],Tabela1[Mês],G$2,Tabela1[Categoria],$A7)</f>
        <v>0</v>
      </c>
      <c r="H7" s="3">
        <f>SUMIFS(Tabela1[Valor],Tabela1[Mês],H$2,Tabela1[Categoria],$A7)</f>
        <v>0</v>
      </c>
      <c r="I7" s="3">
        <f>SUMIFS(Tabela1[Valor],Tabela1[Mês],I$2,Tabela1[Categoria],$A7)</f>
        <v>0</v>
      </c>
      <c r="J7" s="3">
        <f>SUMIFS(Tabela1[Valor],Tabela1[Mês],J$2,Tabela1[Categoria],$A7)</f>
        <v>0</v>
      </c>
      <c r="K7" s="3">
        <f>SUMIFS(Tabela1[Valor],Tabela1[Mês],K$2,Tabela1[Categoria],$A7)</f>
        <v>0</v>
      </c>
      <c r="L7" s="3">
        <f>SUMIFS(Tabela1[Valor],Tabela1[Mês],L$2,Tabela1[Categoria],$A7)</f>
        <v>0</v>
      </c>
      <c r="M7" s="3">
        <f>SUMIFS(Tabela1[Valor],Tabela1[Mês],M$2,Tabela1[Categoria],$A7)</f>
        <v>0</v>
      </c>
    </row>
    <row r="8" spans="1:13" ht="17.850000000000001" customHeight="1" x14ac:dyDescent="0.3">
      <c r="A8" s="59" t="s">
        <v>40</v>
      </c>
      <c r="B8" s="3">
        <f>SUMIFS(Tabela1[Valor],Tabela1[Mês],B$2,Tabela1[Categoria],$A8)</f>
        <v>0</v>
      </c>
      <c r="C8" s="3">
        <f>SUMIFS(Tabela1[Valor],Tabela1[Mês],C$2,Tabela1[Categoria],$A8)</f>
        <v>0</v>
      </c>
      <c r="D8" s="3">
        <f>SUMIFS(Tabela1[Valor],Tabela1[Mês],D$2,Tabela1[Categoria],$A8)</f>
        <v>0</v>
      </c>
      <c r="E8" s="3">
        <f>SUMIFS(Tabela1[Valor],Tabela1[Mês],E$2,Tabela1[Categoria],$A8)</f>
        <v>0</v>
      </c>
      <c r="F8" s="3">
        <f>SUMIFS(Tabela1[Valor],Tabela1[Mês],F$2,Tabela1[Categoria],$A8)</f>
        <v>0</v>
      </c>
      <c r="G8" s="3">
        <f>SUMIFS(Tabela1[Valor],Tabela1[Mês],G$2,Tabela1[Categoria],$A8)</f>
        <v>0</v>
      </c>
      <c r="H8" s="3">
        <f>SUMIFS(Tabela1[Valor],Tabela1[Mês],H$2,Tabela1[Categoria],$A8)</f>
        <v>0</v>
      </c>
      <c r="I8" s="3">
        <f>SUMIFS(Tabela1[Valor],Tabela1[Mês],I$2,Tabela1[Categoria],$A8)</f>
        <v>0</v>
      </c>
      <c r="J8" s="3">
        <f>SUMIFS(Tabela1[Valor],Tabela1[Mês],J$2,Tabela1[Categoria],$A8)</f>
        <v>0</v>
      </c>
      <c r="K8" s="3">
        <f>SUMIFS(Tabela1[Valor],Tabela1[Mês],K$2,Tabela1[Categoria],$A8)</f>
        <v>0</v>
      </c>
      <c r="L8" s="3">
        <f>SUMIFS(Tabela1[Valor],Tabela1[Mês],L$2,Tabela1[Categoria],$A8)</f>
        <v>0</v>
      </c>
      <c r="M8" s="3">
        <f>SUMIFS(Tabela1[Valor],Tabela1[Mês],M$2,Tabela1[Categoria],$A8)</f>
        <v>0</v>
      </c>
    </row>
    <row r="9" spans="1:13" ht="18" customHeight="1" x14ac:dyDescent="0.3">
      <c r="A9" s="59" t="s">
        <v>51</v>
      </c>
      <c r="B9" s="3">
        <f>SUMIFS(Tabela1[Valor],Tabela1[Mês],B$2,Tabela1[Categoria],$A9)</f>
        <v>0</v>
      </c>
      <c r="C9" s="3">
        <f>SUMIFS(Tabela1[Valor],Tabela1[Mês],C$2,Tabela1[Categoria],$A9)</f>
        <v>0</v>
      </c>
      <c r="D9" s="3">
        <f>SUMIFS(Tabela1[Valor],Tabela1[Mês],D$2,Tabela1[Categoria],$A9)</f>
        <v>0</v>
      </c>
      <c r="E9" s="3">
        <f>SUMIFS(Tabela1[Valor],Tabela1[Mês],E$2,Tabela1[Categoria],$A9)</f>
        <v>0</v>
      </c>
      <c r="F9" s="3">
        <f>SUMIFS(Tabela1[Valor],Tabela1[Mês],F$2,Tabela1[Categoria],$A9)</f>
        <v>0</v>
      </c>
      <c r="G9" s="3">
        <f>SUMIFS(Tabela1[Valor],Tabela1[Mês],G$2,Tabela1[Categoria],$A9)</f>
        <v>0</v>
      </c>
      <c r="H9" s="3">
        <f>SUMIFS(Tabela1[Valor],Tabela1[Mês],H$2,Tabela1[Categoria],$A9)</f>
        <v>0</v>
      </c>
      <c r="I9" s="3">
        <f>SUMIFS(Tabela1[Valor],Tabela1[Mês],I$2,Tabela1[Categoria],$A9)</f>
        <v>0</v>
      </c>
      <c r="J9" s="3">
        <f>SUMIFS(Tabela1[Valor],Tabela1[Mês],J$2,Tabela1[Categoria],$A9)</f>
        <v>0</v>
      </c>
      <c r="K9" s="3">
        <f>SUMIFS(Tabela1[Valor],Tabela1[Mês],K$2,Tabela1[Categoria],$A9)</f>
        <v>0</v>
      </c>
      <c r="L9" s="3">
        <f>SUMIFS(Tabela1[Valor],Tabela1[Mês],L$2,Tabela1[Categoria],$A9)</f>
        <v>0</v>
      </c>
      <c r="M9" s="3">
        <f>SUMIFS(Tabela1[Valor],Tabela1[Mês],M$2,Tabela1[Categoria],$A9)</f>
        <v>0</v>
      </c>
    </row>
    <row r="10" spans="1:13" ht="17.850000000000001" customHeight="1" x14ac:dyDescent="0.3">
      <c r="A10" s="59" t="s">
        <v>62</v>
      </c>
      <c r="B10" s="3">
        <f>SUMIFS(Tabela1[Valor],Tabela1[Mês],B$2,Tabela1[Categoria],$A10)</f>
        <v>0</v>
      </c>
      <c r="C10" s="3">
        <f>SUMIFS(Tabela1[Valor],Tabela1[Mês],C$2,Tabela1[Categoria],$A10)</f>
        <v>0</v>
      </c>
      <c r="D10" s="3">
        <f>SUMIFS(Tabela1[Valor],Tabela1[Mês],D$2,Tabela1[Categoria],$A10)</f>
        <v>0</v>
      </c>
      <c r="E10" s="3">
        <f>SUMIFS(Tabela1[Valor],Tabela1[Mês],E$2,Tabela1[Categoria],$A10)</f>
        <v>0</v>
      </c>
      <c r="F10" s="3">
        <f>SUMIFS(Tabela1[Valor],Tabela1[Mês],F$2,Tabela1[Categoria],$A10)</f>
        <v>0</v>
      </c>
      <c r="G10" s="3">
        <f>SUMIFS(Tabela1[Valor],Tabela1[Mês],G$2,Tabela1[Categoria],$A10)</f>
        <v>0</v>
      </c>
      <c r="H10" s="3">
        <f>SUMIFS(Tabela1[Valor],Tabela1[Mês],H$2,Tabela1[Categoria],$A10)</f>
        <v>0</v>
      </c>
      <c r="I10" s="3">
        <f>SUMIFS(Tabela1[Valor],Tabela1[Mês],I$2,Tabela1[Categoria],$A10)</f>
        <v>0</v>
      </c>
      <c r="J10" s="3">
        <f>SUMIFS(Tabela1[Valor],Tabela1[Mês],J$2,Tabela1[Categoria],$A10)</f>
        <v>0</v>
      </c>
      <c r="K10" s="3">
        <f>SUMIFS(Tabela1[Valor],Tabela1[Mês],K$2,Tabela1[Categoria],$A10)</f>
        <v>0</v>
      </c>
      <c r="L10" s="3">
        <f>SUMIFS(Tabela1[Valor],Tabela1[Mês],L$2,Tabela1[Categoria],$A10)</f>
        <v>0</v>
      </c>
      <c r="M10" s="3">
        <f>SUMIFS(Tabela1[Valor],Tabela1[Mês],M$2,Tabela1[Categoria],$A10)</f>
        <v>0</v>
      </c>
    </row>
    <row r="11" spans="1:13" ht="17.850000000000001" customHeight="1" x14ac:dyDescent="0.3">
      <c r="A11" s="59" t="s">
        <v>54</v>
      </c>
      <c r="B11" s="3">
        <f>SUMIFS(Tabela1[Valor],Tabela1[Mês],B$2,Tabela1[Categoria],$A11)</f>
        <v>0</v>
      </c>
      <c r="C11" s="3">
        <f>SUMIFS(Tabela1[Valor],Tabela1[Mês],C$2,Tabela1[Categoria],$A11)</f>
        <v>0</v>
      </c>
      <c r="D11" s="3">
        <f>SUMIFS(Tabela1[Valor],Tabela1[Mês],D$2,Tabela1[Categoria],$A11)</f>
        <v>0</v>
      </c>
      <c r="E11" s="3">
        <f>SUMIFS(Tabela1[Valor],Tabela1[Mês],E$2,Tabela1[Categoria],$A11)</f>
        <v>0</v>
      </c>
      <c r="F11" s="3">
        <f>SUMIFS(Tabela1[Valor],Tabela1[Mês],F$2,Tabela1[Categoria],$A11)</f>
        <v>0</v>
      </c>
      <c r="G11" s="3">
        <f>SUMIFS(Tabela1[Valor],Tabela1[Mês],G$2,Tabela1[Categoria],$A11)</f>
        <v>0</v>
      </c>
      <c r="H11" s="3">
        <f>SUMIFS(Tabela1[Valor],Tabela1[Mês],H$2,Tabela1[Categoria],$A11)</f>
        <v>0</v>
      </c>
      <c r="I11" s="3">
        <f>SUMIFS(Tabela1[Valor],Tabela1[Mês],I$2,Tabela1[Categoria],$A11)</f>
        <v>0</v>
      </c>
      <c r="J11" s="3">
        <f>SUMIFS(Tabela1[Valor],Tabela1[Mês],J$2,Tabela1[Categoria],$A11)</f>
        <v>0</v>
      </c>
      <c r="K11" s="3">
        <f>SUMIFS(Tabela1[Valor],Tabela1[Mês],K$2,Tabela1[Categoria],$A11)</f>
        <v>0</v>
      </c>
      <c r="L11" s="3">
        <f>SUMIFS(Tabela1[Valor],Tabela1[Mês],L$2,Tabela1[Categoria],$A11)</f>
        <v>0</v>
      </c>
      <c r="M11" s="3">
        <f>SUMIFS(Tabela1[Valor],Tabela1[Mês],M$2,Tabela1[Categoria],$A11)</f>
        <v>0</v>
      </c>
    </row>
    <row r="12" spans="1:13" ht="18" customHeight="1" x14ac:dyDescent="0.3">
      <c r="A12" s="59" t="s">
        <v>44</v>
      </c>
      <c r="B12" s="3">
        <f>SUMIFS(Tabela1[Valor],Tabela1[Mês],B$2,Tabela1[Categoria],$A12)</f>
        <v>0</v>
      </c>
      <c r="C12" s="3">
        <f>SUMIFS(Tabela1[Valor],Tabela1[Mês],C$2,Tabela1[Categoria],$A12)</f>
        <v>0</v>
      </c>
      <c r="D12" s="3">
        <f>SUMIFS(Tabela1[Valor],Tabela1[Mês],D$2,Tabela1[Categoria],$A12)</f>
        <v>0</v>
      </c>
      <c r="E12" s="3">
        <f>SUMIFS(Tabela1[Valor],Tabela1[Mês],E$2,Tabela1[Categoria],$A12)</f>
        <v>0</v>
      </c>
      <c r="F12" s="3">
        <f>SUMIFS(Tabela1[Valor],Tabela1[Mês],F$2,Tabela1[Categoria],$A12)</f>
        <v>0</v>
      </c>
      <c r="G12" s="3">
        <f>SUMIFS(Tabela1[Valor],Tabela1[Mês],G$2,Tabela1[Categoria],$A12)</f>
        <v>0</v>
      </c>
      <c r="H12" s="3">
        <f>SUMIFS(Tabela1[Valor],Tabela1[Mês],H$2,Tabela1[Categoria],$A12)</f>
        <v>0</v>
      </c>
      <c r="I12" s="3">
        <f>SUMIFS(Tabela1[Valor],Tabela1[Mês],I$2,Tabela1[Categoria],$A12)</f>
        <v>0</v>
      </c>
      <c r="J12" s="3">
        <f>SUMIFS(Tabela1[Valor],Tabela1[Mês],J$2,Tabela1[Categoria],$A12)</f>
        <v>0</v>
      </c>
      <c r="K12" s="3">
        <f>SUMIFS(Tabela1[Valor],Tabela1[Mês],K$2,Tabela1[Categoria],$A12)</f>
        <v>0</v>
      </c>
      <c r="L12" s="3">
        <f>SUMIFS(Tabela1[Valor],Tabela1[Mês],L$2,Tabela1[Categoria],$A12)</f>
        <v>0</v>
      </c>
      <c r="M12" s="3">
        <f>SUMIFS(Tabela1[Valor],Tabela1[Mês],M$2,Tabela1[Categoria],$A12)</f>
        <v>0</v>
      </c>
    </row>
    <row r="13" spans="1:13" ht="18" customHeight="1" x14ac:dyDescent="0.3">
      <c r="A13" s="59" t="s">
        <v>55</v>
      </c>
      <c r="B13" s="3">
        <f>SUMIFS(Tabela1[Valor],Tabela1[Mês],B$2,Tabela1[Categoria],$A13)</f>
        <v>0</v>
      </c>
      <c r="C13" s="3">
        <f>SUMIFS(Tabela1[Valor],Tabela1[Mês],C$2,Tabela1[Categoria],$A13)</f>
        <v>0</v>
      </c>
      <c r="D13" s="3">
        <f>SUMIFS(Tabela1[Valor],Tabela1[Mês],D$2,Tabela1[Categoria],$A13)</f>
        <v>0</v>
      </c>
      <c r="E13" s="3">
        <f>SUMIFS(Tabela1[Valor],Tabela1[Mês],E$2,Tabela1[Categoria],$A13)</f>
        <v>0</v>
      </c>
      <c r="F13" s="3">
        <f>SUMIFS(Tabela1[Valor],Tabela1[Mês],F$2,Tabela1[Categoria],$A13)</f>
        <v>0</v>
      </c>
      <c r="G13" s="3">
        <f>SUMIFS(Tabela1[Valor],Tabela1[Mês],G$2,Tabela1[Categoria],$A13)</f>
        <v>0</v>
      </c>
      <c r="H13" s="3">
        <f>SUMIFS(Tabela1[Valor],Tabela1[Mês],H$2,Tabela1[Categoria],$A13)</f>
        <v>0</v>
      </c>
      <c r="I13" s="3">
        <f>SUMIFS(Tabela1[Valor],Tabela1[Mês],I$2,Tabela1[Categoria],$A13)</f>
        <v>0</v>
      </c>
      <c r="J13" s="3">
        <f>SUMIFS(Tabela1[Valor],Tabela1[Mês],J$2,Tabela1[Categoria],$A13)</f>
        <v>0</v>
      </c>
      <c r="K13" s="3">
        <f>SUMIFS(Tabela1[Valor],Tabela1[Mês],K$2,Tabela1[Categoria],$A13)</f>
        <v>0</v>
      </c>
      <c r="L13" s="3">
        <f>SUMIFS(Tabela1[Valor],Tabela1[Mês],L$2,Tabela1[Categoria],$A13)</f>
        <v>0</v>
      </c>
      <c r="M13" s="3">
        <f>SUMIFS(Tabela1[Valor],Tabela1[Mês],M$2,Tabela1[Categoria],$A13)</f>
        <v>0</v>
      </c>
    </row>
    <row r="14" spans="1:13" ht="18" customHeight="1" x14ac:dyDescent="0.3">
      <c r="A14" s="59" t="s">
        <v>56</v>
      </c>
      <c r="B14" s="3">
        <f>SUMIFS(Tabela1[Valor],Tabela1[Mês],B$2,Tabela1[Categoria],$A14)</f>
        <v>0</v>
      </c>
      <c r="C14" s="3">
        <f>SUMIFS(Tabela1[Valor],Tabela1[Mês],C$2,Tabela1[Categoria],$A14)</f>
        <v>0</v>
      </c>
      <c r="D14" s="3">
        <f>SUMIFS(Tabela1[Valor],Tabela1[Mês],D$2,Tabela1[Categoria],$A14)</f>
        <v>0</v>
      </c>
      <c r="E14" s="3">
        <f>SUMIFS(Tabela1[Valor],Tabela1[Mês],E$2,Tabela1[Categoria],$A14)</f>
        <v>0</v>
      </c>
      <c r="F14" s="3">
        <f>SUMIFS(Tabela1[Valor],Tabela1[Mês],F$2,Tabela1[Categoria],$A14)</f>
        <v>0</v>
      </c>
      <c r="G14" s="3">
        <f>SUMIFS(Tabela1[Valor],Tabela1[Mês],G$2,Tabela1[Categoria],$A14)</f>
        <v>0</v>
      </c>
      <c r="H14" s="3">
        <f>SUMIFS(Tabela1[Valor],Tabela1[Mês],H$2,Tabela1[Categoria],$A14)</f>
        <v>0</v>
      </c>
      <c r="I14" s="3">
        <f>SUMIFS(Tabela1[Valor],Tabela1[Mês],I$2,Tabela1[Categoria],$A14)</f>
        <v>0</v>
      </c>
      <c r="J14" s="3">
        <f>SUMIFS(Tabela1[Valor],Tabela1[Mês],J$2,Tabela1[Categoria],$A14)</f>
        <v>0</v>
      </c>
      <c r="K14" s="3">
        <f>SUMIFS(Tabela1[Valor],Tabela1[Mês],K$2,Tabela1[Categoria],$A14)</f>
        <v>0</v>
      </c>
      <c r="L14" s="3">
        <f>SUMIFS(Tabela1[Valor],Tabela1[Mês],L$2,Tabela1[Categoria],$A14)</f>
        <v>0</v>
      </c>
      <c r="M14" s="3">
        <f>SUMIFS(Tabela1[Valor],Tabela1[Mês],M$2,Tabela1[Categoria],$A14)</f>
        <v>0</v>
      </c>
    </row>
    <row r="16" spans="1:13" ht="17.850000000000001" customHeight="1" x14ac:dyDescent="0.3">
      <c r="A16" s="29" t="s">
        <v>8</v>
      </c>
      <c r="B16" s="3">
        <f>ROUND(SUM(B3:B7)-SUM(B8:B14),2)</f>
        <v>150</v>
      </c>
      <c r="C16" s="3">
        <f t="shared" ref="C16:M16" si="0">ROUND(SUM(C3:C7)-SUM(C8:C14),2)</f>
        <v>0</v>
      </c>
      <c r="D16" s="3">
        <f t="shared" si="0"/>
        <v>0</v>
      </c>
      <c r="E16" s="3">
        <f t="shared" si="0"/>
        <v>0</v>
      </c>
      <c r="F16" s="3">
        <f t="shared" si="0"/>
        <v>0</v>
      </c>
      <c r="G16" s="3">
        <f t="shared" si="0"/>
        <v>0</v>
      </c>
      <c r="H16" s="3">
        <f t="shared" si="0"/>
        <v>0</v>
      </c>
      <c r="I16" s="3">
        <f t="shared" si="0"/>
        <v>0</v>
      </c>
      <c r="J16" s="3">
        <f t="shared" si="0"/>
        <v>0</v>
      </c>
      <c r="K16" s="3">
        <f t="shared" si="0"/>
        <v>0</v>
      </c>
      <c r="L16" s="3">
        <f t="shared" si="0"/>
        <v>0</v>
      </c>
      <c r="M16" s="3">
        <f t="shared" si="0"/>
        <v>0</v>
      </c>
    </row>
    <row r="18" spans="1:13" ht="18.55" hidden="1" customHeight="1" x14ac:dyDescent="0.3">
      <c r="A18" s="59" t="str">
        <f>A12</f>
        <v>Perdas Outros</v>
      </c>
      <c r="B18" s="3">
        <f t="shared" ref="B18:M18" si="1">ROUND(IF((SUM(B3:B9)-SUM(B10:B11,B13)) &gt; 10, ((SUM(B3:B9)-SUM(B10:B11,B13))*0.1), (0))-B12,2)</f>
        <v>15</v>
      </c>
      <c r="C18" s="3">
        <f t="shared" si="1"/>
        <v>0</v>
      </c>
      <c r="D18" s="3">
        <f t="shared" si="1"/>
        <v>0</v>
      </c>
      <c r="E18" s="3">
        <f t="shared" si="1"/>
        <v>0</v>
      </c>
      <c r="F18" s="3">
        <f t="shared" si="1"/>
        <v>0</v>
      </c>
      <c r="G18" s="3">
        <f t="shared" si="1"/>
        <v>0</v>
      </c>
      <c r="H18" s="3">
        <f t="shared" si="1"/>
        <v>0</v>
      </c>
      <c r="I18" s="3">
        <f t="shared" si="1"/>
        <v>0</v>
      </c>
      <c r="J18" s="3">
        <f t="shared" si="1"/>
        <v>0</v>
      </c>
      <c r="K18" s="3">
        <f t="shared" si="1"/>
        <v>0</v>
      </c>
      <c r="L18" s="3">
        <f t="shared" si="1"/>
        <v>0</v>
      </c>
      <c r="M18" s="3">
        <f t="shared" si="1"/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5.7109375" style="66" customWidth="1"/>
    <col min="2" max="4" width="17.7109375" style="66" customWidth="1"/>
    <col min="5" max="10" width="17.85546875" style="66" customWidth="1"/>
    <col min="11" max="13" width="17.7109375" style="66" customWidth="1"/>
    <col min="14" max="14" width="10.5703125" style="66" bestFit="1" customWidth="1"/>
    <col min="15" max="15" width="12.42578125" style="66" bestFit="1" customWidth="1"/>
    <col min="16" max="17" width="10.5703125" style="66" bestFit="1" customWidth="1"/>
    <col min="18" max="16384" width="9.140625" style="66"/>
  </cols>
  <sheetData>
    <row r="2" spans="1:13" s="63" customFormat="1" ht="17.850000000000001" customHeight="1" x14ac:dyDescent="0.3">
      <c r="A2" s="66"/>
      <c r="B2" s="62" t="s">
        <v>50</v>
      </c>
      <c r="C2" s="62" t="str">
        <f>PROPER(TEXT("1/02","MMMM"))</f>
        <v>Fevereiro</v>
      </c>
      <c r="D2" s="62" t="str">
        <f>PROPER(TEXT("1/03","MMMM"))</f>
        <v>Março</v>
      </c>
      <c r="E2" s="62" t="str">
        <f>PROPER(TEXT("1/04","MMMM"))</f>
        <v>Abril</v>
      </c>
      <c r="F2" s="62" t="str">
        <f>PROPER(TEXT("1/05","MMMM"))</f>
        <v>Maio</v>
      </c>
      <c r="G2" s="62" t="str">
        <f>PROPER(TEXT("1/06","MMMM"))</f>
        <v>Junho</v>
      </c>
      <c r="H2" s="62" t="str">
        <f>PROPER(TEXT("1/07","MMMM"))</f>
        <v>Julho</v>
      </c>
      <c r="I2" s="62" t="str">
        <f>PROPER(TEXT("1/08","MMMM"))</f>
        <v>Agosto</v>
      </c>
      <c r="J2" s="62" t="str">
        <f>PROPER(TEXT("1/09","MMMM"))</f>
        <v>Setembro</v>
      </c>
      <c r="K2" s="62" t="str">
        <f>PROPER(TEXT("1/10","MMMM"))</f>
        <v>Outubro</v>
      </c>
      <c r="L2" s="62" t="str">
        <f>PROPER(TEXT("1/11","MMMM"))</f>
        <v>Novembro</v>
      </c>
      <c r="M2" s="62" t="str">
        <f>PROPER(TEXT("1/12","MMMM"))</f>
        <v>Dezembro</v>
      </c>
    </row>
    <row r="3" spans="1:13" s="64" customFormat="1" ht="15" customHeight="1" x14ac:dyDescent="0.3">
      <c r="A3" s="61" t="s">
        <v>16</v>
      </c>
      <c r="B3" s="3">
        <f>'Receita Líquida'!B16</f>
        <v>150</v>
      </c>
      <c r="C3" s="3">
        <f>'Receita Líquida'!C16</f>
        <v>0</v>
      </c>
      <c r="D3" s="3">
        <f>'Receita Líquida'!D16</f>
        <v>0</v>
      </c>
      <c r="E3" s="3">
        <f>'Receita Líquida'!E16</f>
        <v>0</v>
      </c>
      <c r="F3" s="3">
        <f>'Receita Líquida'!F16</f>
        <v>0</v>
      </c>
      <c r="G3" s="3">
        <f>'Receita Líquida'!G16</f>
        <v>0</v>
      </c>
      <c r="H3" s="3">
        <f>'Receita Líquida'!H16</f>
        <v>0</v>
      </c>
      <c r="I3" s="3">
        <f>'Receita Líquida'!I16</f>
        <v>0</v>
      </c>
      <c r="J3" s="3">
        <f>'Receita Líquida'!J16</f>
        <v>0</v>
      </c>
      <c r="K3" s="3">
        <f>'Receita Líquida'!K16</f>
        <v>0</v>
      </c>
      <c r="L3" s="3">
        <f>'Receita Líquida'!L16</f>
        <v>0</v>
      </c>
      <c r="M3" s="3">
        <f>'Receita Líquida'!M16</f>
        <v>0</v>
      </c>
    </row>
    <row r="4" spans="1:13" ht="15" customHeight="1" x14ac:dyDescent="0.3">
      <c r="A4" s="61" t="s">
        <v>4</v>
      </c>
      <c r="B4" s="65">
        <f>B3-(SUM(B7:B18))</f>
        <v>100</v>
      </c>
      <c r="C4" s="65">
        <f t="shared" ref="C4:L4" si="0">C3-(SUM(C7:C18))+B4</f>
        <v>100</v>
      </c>
      <c r="D4" s="65">
        <f t="shared" si="0"/>
        <v>100</v>
      </c>
      <c r="E4" s="65">
        <f t="shared" si="0"/>
        <v>100</v>
      </c>
      <c r="F4" s="65">
        <f t="shared" si="0"/>
        <v>100</v>
      </c>
      <c r="G4" s="65">
        <f t="shared" si="0"/>
        <v>100</v>
      </c>
      <c r="H4" s="65">
        <f t="shared" si="0"/>
        <v>100</v>
      </c>
      <c r="I4" s="65">
        <f t="shared" si="0"/>
        <v>100</v>
      </c>
      <c r="J4" s="65">
        <f t="shared" si="0"/>
        <v>100</v>
      </c>
      <c r="K4" s="65">
        <f t="shared" si="0"/>
        <v>100</v>
      </c>
      <c r="L4" s="65">
        <f t="shared" si="0"/>
        <v>100</v>
      </c>
      <c r="M4" s="65">
        <f>M3-SUM(M7:M18)+L4</f>
        <v>100</v>
      </c>
    </row>
    <row r="5" spans="1:13" ht="15" customHeight="1" x14ac:dyDescent="0.3">
      <c r="A5" s="50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</row>
    <row r="6" spans="1:13" ht="15" customHeight="1" x14ac:dyDescent="0.3">
      <c r="A6" s="67" t="s">
        <v>14</v>
      </c>
      <c r="B6" s="68" t="s">
        <v>28</v>
      </c>
      <c r="C6" s="68" t="s">
        <v>28</v>
      </c>
      <c r="D6" s="68" t="s">
        <v>28</v>
      </c>
      <c r="E6" s="68" t="s">
        <v>28</v>
      </c>
      <c r="F6" s="68" t="s">
        <v>28</v>
      </c>
      <c r="G6" s="68" t="s">
        <v>28</v>
      </c>
      <c r="H6" s="68" t="s">
        <v>28</v>
      </c>
      <c r="I6" s="68" t="s">
        <v>28</v>
      </c>
      <c r="J6" s="68" t="s">
        <v>28</v>
      </c>
      <c r="K6" s="68" t="s">
        <v>28</v>
      </c>
      <c r="L6" s="68" t="s">
        <v>28</v>
      </c>
      <c r="M6" s="68" t="s">
        <v>28</v>
      </c>
    </row>
    <row r="7" spans="1:13" ht="15" customHeight="1" x14ac:dyDescent="0.3">
      <c r="A7" s="28" t="s">
        <v>23</v>
      </c>
      <c r="B7" s="3">
        <f>SUMIFS(Tabela1[Valor],Tabela1[Mês],'Despesas Gerais'!B$2,Tabela1[Categoria],'Despesas Gerais'!$A7)</f>
        <v>50</v>
      </c>
      <c r="C7" s="3">
        <f>SUMIFS(Tabela1[Valor],Tabela1[Mês],'Despesas Gerais'!C$2,Tabela1[Categoria],'Despesas Gerais'!$A7)</f>
        <v>0</v>
      </c>
      <c r="D7" s="3">
        <f>SUMIFS(Tabela1[Valor],Tabela1[Mês],'Despesas Gerais'!D$2,Tabela1[Categoria],'Despesas Gerais'!$A7)</f>
        <v>0</v>
      </c>
      <c r="E7" s="3">
        <f>SUMIFS(Tabela1[Valor],Tabela1[Mês],'Despesas Gerais'!E$2,Tabela1[Categoria],'Despesas Gerais'!$A7)</f>
        <v>0</v>
      </c>
      <c r="F7" s="3">
        <f>SUMIFS(Tabela1[Valor],Tabela1[Mês],'Despesas Gerais'!F$2,Tabela1[Categoria],'Despesas Gerais'!$A7)</f>
        <v>0</v>
      </c>
      <c r="G7" s="3">
        <f>SUMIFS(Tabela1[Valor],Tabela1[Mês],'Despesas Gerais'!G$2,Tabela1[Categoria],'Despesas Gerais'!$A7)</f>
        <v>0</v>
      </c>
      <c r="H7" s="3">
        <f>SUMIFS(Tabela1[Valor],Tabela1[Mês],'Despesas Gerais'!H$2,Tabela1[Categoria],'Despesas Gerais'!$A7)</f>
        <v>0</v>
      </c>
      <c r="I7" s="3">
        <f>SUMIFS(Tabela1[Valor],Tabela1[Mês],'Despesas Gerais'!I$2,Tabela1[Categoria],'Despesas Gerais'!$A7)</f>
        <v>0</v>
      </c>
      <c r="J7" s="3">
        <f>SUMIFS(Tabela1[Valor],Tabela1[Mês],'Despesas Gerais'!J$2,Tabela1[Categoria],'Despesas Gerais'!$A7)</f>
        <v>0</v>
      </c>
      <c r="K7" s="3">
        <f>SUMIFS(Tabela1[Valor],Tabela1[Mês],'Despesas Gerais'!K$2,Tabela1[Categoria],'Despesas Gerais'!$A7)</f>
        <v>0</v>
      </c>
      <c r="L7" s="3">
        <f>SUMIFS(Tabela1[Valor],Tabela1[Mês],'Despesas Gerais'!L$2,Tabela1[Categoria],'Despesas Gerais'!$A7)</f>
        <v>0</v>
      </c>
      <c r="M7" s="3">
        <f>SUMIFS(Tabela1[Valor],Tabela1[Mês],'Despesas Gerais'!M$2,Tabela1[Categoria],'Despesas Gerais'!$A7)</f>
        <v>0</v>
      </c>
    </row>
    <row r="8" spans="1:13" ht="15" customHeight="1" x14ac:dyDescent="0.3">
      <c r="A8" s="28" t="s">
        <v>60</v>
      </c>
      <c r="B8" s="3">
        <f>SUMIFS(Tabela1[Valor],Tabela1[Mês],'Despesas Gerais'!B$2,Tabela1[Categoria],'Despesas Gerais'!$A8)</f>
        <v>0</v>
      </c>
      <c r="C8" s="3">
        <f>SUMIFS(Tabela1[Valor],Tabela1[Mês],'Despesas Gerais'!C$2,Tabela1[Categoria],'Despesas Gerais'!$A8)</f>
        <v>0</v>
      </c>
      <c r="D8" s="3">
        <f>SUMIFS(Tabela1[Valor],Tabela1[Mês],'Despesas Gerais'!D$2,Tabela1[Categoria],'Despesas Gerais'!$A8)</f>
        <v>0</v>
      </c>
      <c r="E8" s="3">
        <f>SUMIFS(Tabela1[Valor],Tabela1[Mês],'Despesas Gerais'!E$2,Tabela1[Categoria],'Despesas Gerais'!$A8)</f>
        <v>0</v>
      </c>
      <c r="F8" s="3">
        <f>SUMIFS(Tabela1[Valor],Tabela1[Mês],'Despesas Gerais'!F$2,Tabela1[Categoria],'Despesas Gerais'!$A8)</f>
        <v>0</v>
      </c>
      <c r="G8" s="3">
        <f>SUMIFS(Tabela1[Valor],Tabela1[Mês],'Despesas Gerais'!G$2,Tabela1[Categoria],'Despesas Gerais'!$A8)</f>
        <v>0</v>
      </c>
      <c r="H8" s="3">
        <f>SUMIFS(Tabela1[Valor],Tabela1[Mês],'Despesas Gerais'!H$2,Tabela1[Categoria],'Despesas Gerais'!$A8)</f>
        <v>0</v>
      </c>
      <c r="I8" s="3">
        <f>SUMIFS(Tabela1[Valor],Tabela1[Mês],'Despesas Gerais'!I$2,Tabela1[Categoria],'Despesas Gerais'!$A8)</f>
        <v>0</v>
      </c>
      <c r="J8" s="3">
        <f>SUMIFS(Tabela1[Valor],Tabela1[Mês],'Despesas Gerais'!J$2,Tabela1[Categoria],'Despesas Gerais'!$A8)</f>
        <v>0</v>
      </c>
      <c r="K8" s="3">
        <f>SUMIFS(Tabela1[Valor],Tabela1[Mês],'Despesas Gerais'!K$2,Tabela1[Categoria],'Despesas Gerais'!$A8)</f>
        <v>0</v>
      </c>
      <c r="L8" s="3">
        <f>SUMIFS(Tabela1[Valor],Tabela1[Mês],'Despesas Gerais'!L$2,Tabela1[Categoria],'Despesas Gerais'!$A8)</f>
        <v>0</v>
      </c>
      <c r="M8" s="3">
        <f>SUMIFS(Tabela1[Valor],Tabela1[Mês],'Despesas Gerais'!M$2,Tabela1[Categoria],'Despesas Gerais'!$A8)</f>
        <v>0</v>
      </c>
    </row>
    <row r="9" spans="1:13" ht="15" customHeight="1" x14ac:dyDescent="0.3">
      <c r="A9" s="28" t="s">
        <v>61</v>
      </c>
      <c r="B9" s="3">
        <f>SUMIFS(Tabela1[Valor],Tabela1[Mês],'Despesas Gerais'!B$2,Tabela1[Categoria],'Despesas Gerais'!$A9)</f>
        <v>0</v>
      </c>
      <c r="C9" s="3">
        <f>SUMIFS(Tabela1[Valor],Tabela1[Mês],'Despesas Gerais'!C$2,Tabela1[Categoria],'Despesas Gerais'!$A9)</f>
        <v>0</v>
      </c>
      <c r="D9" s="3">
        <f>SUMIFS(Tabela1[Valor],Tabela1[Mês],'Despesas Gerais'!D$2,Tabela1[Categoria],'Despesas Gerais'!$A9)</f>
        <v>0</v>
      </c>
      <c r="E9" s="3">
        <f>SUMIFS(Tabela1[Valor],Tabela1[Mês],'Despesas Gerais'!E$2,Tabela1[Categoria],'Despesas Gerais'!$A9)</f>
        <v>0</v>
      </c>
      <c r="F9" s="3">
        <f>SUMIFS(Tabela1[Valor],Tabela1[Mês],'Despesas Gerais'!F$2,Tabela1[Categoria],'Despesas Gerais'!$A9)</f>
        <v>0</v>
      </c>
      <c r="G9" s="3">
        <f>SUMIFS(Tabela1[Valor],Tabela1[Mês],'Despesas Gerais'!G$2,Tabela1[Categoria],'Despesas Gerais'!$A9)</f>
        <v>0</v>
      </c>
      <c r="H9" s="3">
        <f>SUMIFS(Tabela1[Valor],Tabela1[Mês],'Despesas Gerais'!H$2,Tabela1[Categoria],'Despesas Gerais'!$A9)</f>
        <v>0</v>
      </c>
      <c r="I9" s="3">
        <f>SUMIFS(Tabela1[Valor],Tabela1[Mês],'Despesas Gerais'!I$2,Tabela1[Categoria],'Despesas Gerais'!$A9)</f>
        <v>0</v>
      </c>
      <c r="J9" s="3">
        <f>SUMIFS(Tabela1[Valor],Tabela1[Mês],'Despesas Gerais'!J$2,Tabela1[Categoria],'Despesas Gerais'!$A9)</f>
        <v>0</v>
      </c>
      <c r="K9" s="3">
        <f>SUMIFS(Tabela1[Valor],Tabela1[Mês],'Despesas Gerais'!K$2,Tabela1[Categoria],'Despesas Gerais'!$A9)</f>
        <v>0</v>
      </c>
      <c r="L9" s="3">
        <f>SUMIFS(Tabela1[Valor],Tabela1[Mês],'Despesas Gerais'!L$2,Tabela1[Categoria],'Despesas Gerais'!$A9)</f>
        <v>0</v>
      </c>
      <c r="M9" s="3">
        <f>SUMIFS(Tabela1[Valor],Tabela1[Mês],'Despesas Gerais'!M$2,Tabela1[Categoria],'Despesas Gerais'!$A9)</f>
        <v>0</v>
      </c>
    </row>
    <row r="10" spans="1:13" ht="15" customHeight="1" x14ac:dyDescent="0.3">
      <c r="A10" s="28" t="s">
        <v>22</v>
      </c>
      <c r="B10" s="3">
        <f>SUMIFS(Tabela1[Valor],Tabela1[Mês],'Despesas Gerais'!B$2,Tabela1[Categoria],'Despesas Gerais'!$A10)</f>
        <v>0</v>
      </c>
      <c r="C10" s="3">
        <f>SUMIFS(Tabela1[Valor],Tabela1[Mês],'Despesas Gerais'!C$2,Tabela1[Categoria],'Despesas Gerais'!$A10)</f>
        <v>0</v>
      </c>
      <c r="D10" s="3">
        <f>SUMIFS(Tabela1[Valor],Tabela1[Mês],'Despesas Gerais'!D$2,Tabela1[Categoria],'Despesas Gerais'!$A10)</f>
        <v>0</v>
      </c>
      <c r="E10" s="3">
        <f>SUMIFS(Tabela1[Valor],Tabela1[Mês],'Despesas Gerais'!E$2,Tabela1[Categoria],'Despesas Gerais'!$A10)</f>
        <v>0</v>
      </c>
      <c r="F10" s="3">
        <f>SUMIFS(Tabela1[Valor],Tabela1[Mês],'Despesas Gerais'!F$2,Tabela1[Categoria],'Despesas Gerais'!$A10)</f>
        <v>0</v>
      </c>
      <c r="G10" s="3">
        <f>SUMIFS(Tabela1[Valor],Tabela1[Mês],'Despesas Gerais'!G$2,Tabela1[Categoria],'Despesas Gerais'!$A10)</f>
        <v>0</v>
      </c>
      <c r="H10" s="3">
        <f>SUMIFS(Tabela1[Valor],Tabela1[Mês],'Despesas Gerais'!H$2,Tabela1[Categoria],'Despesas Gerais'!$A10)</f>
        <v>0</v>
      </c>
      <c r="I10" s="3">
        <f>SUMIFS(Tabela1[Valor],Tabela1[Mês],'Despesas Gerais'!I$2,Tabela1[Categoria],'Despesas Gerais'!$A10)</f>
        <v>0</v>
      </c>
      <c r="J10" s="3">
        <f>SUMIFS(Tabela1[Valor],Tabela1[Mês],'Despesas Gerais'!J$2,Tabela1[Categoria],'Despesas Gerais'!$A10)</f>
        <v>0</v>
      </c>
      <c r="K10" s="3">
        <f>SUMIFS(Tabela1[Valor],Tabela1[Mês],'Despesas Gerais'!K$2,Tabela1[Categoria],'Despesas Gerais'!$A10)</f>
        <v>0</v>
      </c>
      <c r="L10" s="3">
        <f>SUMIFS(Tabela1[Valor],Tabela1[Mês],'Despesas Gerais'!L$2,Tabela1[Categoria],'Despesas Gerais'!$A10)</f>
        <v>0</v>
      </c>
      <c r="M10" s="3">
        <f>SUMIFS(Tabela1[Valor],Tabela1[Mês],'Despesas Gerais'!M$2,Tabela1[Categoria],'Despesas Gerais'!$A10)</f>
        <v>0</v>
      </c>
    </row>
    <row r="11" spans="1:13" ht="15" customHeight="1" x14ac:dyDescent="0.3">
      <c r="A11" s="28" t="s">
        <v>59</v>
      </c>
      <c r="B11" s="3">
        <f>SUMIFS(Tabela1[Valor],Tabela1[Mês],'Despesas Gerais'!B$2,Tabela1[Categoria],'Despesas Gerais'!$A11)</f>
        <v>0</v>
      </c>
      <c r="C11" s="3">
        <f>SUMIFS(Tabela1[Valor],Tabela1[Mês],'Despesas Gerais'!C$2,Tabela1[Categoria],'Despesas Gerais'!$A11)</f>
        <v>0</v>
      </c>
      <c r="D11" s="3">
        <f>SUMIFS(Tabela1[Valor],Tabela1[Mês],'Despesas Gerais'!D$2,Tabela1[Categoria],'Despesas Gerais'!$A11)</f>
        <v>0</v>
      </c>
      <c r="E11" s="3">
        <f>SUMIFS(Tabela1[Valor],Tabela1[Mês],'Despesas Gerais'!E$2,Tabela1[Categoria],'Despesas Gerais'!$A11)</f>
        <v>0</v>
      </c>
      <c r="F11" s="3">
        <f>SUMIFS(Tabela1[Valor],Tabela1[Mês],'Despesas Gerais'!F$2,Tabela1[Categoria],'Despesas Gerais'!$A11)</f>
        <v>0</v>
      </c>
      <c r="G11" s="3">
        <f>SUMIFS(Tabela1[Valor],Tabela1[Mês],'Despesas Gerais'!G$2,Tabela1[Categoria],'Despesas Gerais'!$A11)</f>
        <v>0</v>
      </c>
      <c r="H11" s="3">
        <f>SUMIFS(Tabela1[Valor],Tabela1[Mês],'Despesas Gerais'!H$2,Tabela1[Categoria],'Despesas Gerais'!$A11)</f>
        <v>0</v>
      </c>
      <c r="I11" s="3">
        <f>SUMIFS(Tabela1[Valor],Tabela1[Mês],'Despesas Gerais'!I$2,Tabela1[Categoria],'Despesas Gerais'!$A11)</f>
        <v>0</v>
      </c>
      <c r="J11" s="3">
        <f>SUMIFS(Tabela1[Valor],Tabela1[Mês],'Despesas Gerais'!J$2,Tabela1[Categoria],'Despesas Gerais'!$A11)</f>
        <v>0</v>
      </c>
      <c r="K11" s="3">
        <f>SUMIFS(Tabela1[Valor],Tabela1[Mês],'Despesas Gerais'!K$2,Tabela1[Categoria],'Despesas Gerais'!$A11)</f>
        <v>0</v>
      </c>
      <c r="L11" s="3">
        <f>SUMIFS(Tabela1[Valor],Tabela1[Mês],'Despesas Gerais'!L$2,Tabela1[Categoria],'Despesas Gerais'!$A11)</f>
        <v>0</v>
      </c>
      <c r="M11" s="3">
        <f>SUMIFS(Tabela1[Valor],Tabela1[Mês],'Despesas Gerais'!M$2,Tabela1[Categoria],'Despesas Gerais'!$A11)</f>
        <v>0</v>
      </c>
    </row>
    <row r="12" spans="1:13" ht="15" customHeight="1" x14ac:dyDescent="0.3">
      <c r="A12" s="28" t="s">
        <v>24</v>
      </c>
      <c r="B12" s="3">
        <f>SUMIFS(Tabela1[Valor],Tabela1[Mês],'Despesas Gerais'!B$2,Tabela1[Categoria],'Despesas Gerais'!$A12)</f>
        <v>0</v>
      </c>
      <c r="C12" s="3">
        <f>SUMIFS(Tabela1[Valor],Tabela1[Mês],'Despesas Gerais'!C$2,Tabela1[Categoria],'Despesas Gerais'!$A12)</f>
        <v>0</v>
      </c>
      <c r="D12" s="3">
        <f>SUMIFS(Tabela1[Valor],Tabela1[Mês],'Despesas Gerais'!D$2,Tabela1[Categoria],'Despesas Gerais'!$A12)</f>
        <v>0</v>
      </c>
      <c r="E12" s="3">
        <f>SUMIFS(Tabela1[Valor],Tabela1[Mês],'Despesas Gerais'!E$2,Tabela1[Categoria],'Despesas Gerais'!$A12)</f>
        <v>0</v>
      </c>
      <c r="F12" s="3">
        <f>SUMIFS(Tabela1[Valor],Tabela1[Mês],'Despesas Gerais'!F$2,Tabela1[Categoria],'Despesas Gerais'!$A12)</f>
        <v>0</v>
      </c>
      <c r="G12" s="3">
        <f>SUMIFS(Tabela1[Valor],Tabela1[Mês],'Despesas Gerais'!G$2,Tabela1[Categoria],'Despesas Gerais'!$A12)</f>
        <v>0</v>
      </c>
      <c r="H12" s="3">
        <f>SUMIFS(Tabela1[Valor],Tabela1[Mês],'Despesas Gerais'!H$2,Tabela1[Categoria],'Despesas Gerais'!$A12)</f>
        <v>0</v>
      </c>
      <c r="I12" s="3">
        <f>SUMIFS(Tabela1[Valor],Tabela1[Mês],'Despesas Gerais'!I$2,Tabela1[Categoria],'Despesas Gerais'!$A12)</f>
        <v>0</v>
      </c>
      <c r="J12" s="3">
        <f>SUMIFS(Tabela1[Valor],Tabela1[Mês],'Despesas Gerais'!J$2,Tabela1[Categoria],'Despesas Gerais'!$A12)</f>
        <v>0</v>
      </c>
      <c r="K12" s="3">
        <f>SUMIFS(Tabela1[Valor],Tabela1[Mês],'Despesas Gerais'!K$2,Tabela1[Categoria],'Despesas Gerais'!$A12)</f>
        <v>0</v>
      </c>
      <c r="L12" s="3">
        <f>SUMIFS(Tabela1[Valor],Tabela1[Mês],'Despesas Gerais'!L$2,Tabela1[Categoria],'Despesas Gerais'!$A12)</f>
        <v>0</v>
      </c>
      <c r="M12" s="3">
        <f>SUMIFS(Tabela1[Valor],Tabela1[Mês],'Despesas Gerais'!M$2,Tabela1[Categoria],'Despesas Gerais'!$A12)</f>
        <v>0</v>
      </c>
    </row>
    <row r="13" spans="1:13" ht="15" customHeight="1" x14ac:dyDescent="0.3">
      <c r="A13" s="28" t="s">
        <v>21</v>
      </c>
      <c r="B13" s="3">
        <f>SUMIFS(Tabela1[Valor],Tabela1[Mês],'Despesas Gerais'!B$2,Tabela1[Categoria],'Despesas Gerais'!$A13)</f>
        <v>0</v>
      </c>
      <c r="C13" s="3">
        <f>SUMIFS(Tabela1[Valor],Tabela1[Mês],'Despesas Gerais'!C$2,Tabela1[Categoria],'Despesas Gerais'!$A13)</f>
        <v>0</v>
      </c>
      <c r="D13" s="3">
        <f>SUMIFS(Tabela1[Valor],Tabela1[Mês],'Despesas Gerais'!D$2,Tabela1[Categoria],'Despesas Gerais'!$A13)</f>
        <v>0</v>
      </c>
      <c r="E13" s="3">
        <f>SUMIFS(Tabela1[Valor],Tabela1[Mês],'Despesas Gerais'!E$2,Tabela1[Categoria],'Despesas Gerais'!$A13)</f>
        <v>0</v>
      </c>
      <c r="F13" s="3">
        <f>SUMIFS(Tabela1[Valor],Tabela1[Mês],'Despesas Gerais'!F$2,Tabela1[Categoria],'Despesas Gerais'!$A13)</f>
        <v>0</v>
      </c>
      <c r="G13" s="3">
        <f>SUMIFS(Tabela1[Valor],Tabela1[Mês],'Despesas Gerais'!G$2,Tabela1[Categoria],'Despesas Gerais'!$A13)</f>
        <v>0</v>
      </c>
      <c r="H13" s="3">
        <f>SUMIFS(Tabela1[Valor],Tabela1[Mês],'Despesas Gerais'!H$2,Tabela1[Categoria],'Despesas Gerais'!$A13)</f>
        <v>0</v>
      </c>
      <c r="I13" s="3">
        <f>SUMIFS(Tabela1[Valor],Tabela1[Mês],'Despesas Gerais'!I$2,Tabela1[Categoria],'Despesas Gerais'!$A13)</f>
        <v>0</v>
      </c>
      <c r="J13" s="3">
        <f>SUMIFS(Tabela1[Valor],Tabela1[Mês],'Despesas Gerais'!J$2,Tabela1[Categoria],'Despesas Gerais'!$A13)</f>
        <v>0</v>
      </c>
      <c r="K13" s="3">
        <f>SUMIFS(Tabela1[Valor],Tabela1[Mês],'Despesas Gerais'!K$2,Tabela1[Categoria],'Despesas Gerais'!$A13)</f>
        <v>0</v>
      </c>
      <c r="L13" s="3">
        <f>SUMIFS(Tabela1[Valor],Tabela1[Mês],'Despesas Gerais'!L$2,Tabela1[Categoria],'Despesas Gerais'!$A13)</f>
        <v>0</v>
      </c>
      <c r="M13" s="3">
        <f>SUMIFS(Tabela1[Valor],Tabela1[Mês],'Despesas Gerais'!M$2,Tabela1[Categoria],'Despesas Gerais'!$A13)</f>
        <v>0</v>
      </c>
    </row>
    <row r="14" spans="1:13" ht="15" customHeight="1" x14ac:dyDescent="0.3">
      <c r="A14" s="28" t="s">
        <v>57</v>
      </c>
      <c r="B14" s="3">
        <f>SUMIFS(Tabela1[Valor],Tabela1[Mês],'Despesas Gerais'!B$2,Tabela1[Categoria],'Despesas Gerais'!$A14)</f>
        <v>0</v>
      </c>
      <c r="C14" s="3">
        <f>SUMIFS(Tabela1[Valor],Tabela1[Mês],'Despesas Gerais'!C$2,Tabela1[Categoria],'Despesas Gerais'!$A14)</f>
        <v>0</v>
      </c>
      <c r="D14" s="3">
        <f>SUMIFS(Tabela1[Valor],Tabela1[Mês],'Despesas Gerais'!D$2,Tabela1[Categoria],'Despesas Gerais'!$A14)</f>
        <v>0</v>
      </c>
      <c r="E14" s="3">
        <f>SUMIFS(Tabela1[Valor],Tabela1[Mês],'Despesas Gerais'!E$2,Tabela1[Categoria],'Despesas Gerais'!$A14)</f>
        <v>0</v>
      </c>
      <c r="F14" s="3">
        <f>SUMIFS(Tabela1[Valor],Tabela1[Mês],'Despesas Gerais'!F$2,Tabela1[Categoria],'Despesas Gerais'!$A14)</f>
        <v>0</v>
      </c>
      <c r="G14" s="3">
        <f>SUMIFS(Tabela1[Valor],Tabela1[Mês],'Despesas Gerais'!G$2,Tabela1[Categoria],'Despesas Gerais'!$A14)</f>
        <v>0</v>
      </c>
      <c r="H14" s="3">
        <f>SUMIFS(Tabela1[Valor],Tabela1[Mês],'Despesas Gerais'!H$2,Tabela1[Categoria],'Despesas Gerais'!$A14)</f>
        <v>0</v>
      </c>
      <c r="I14" s="3">
        <f>SUMIFS(Tabela1[Valor],Tabela1[Mês],'Despesas Gerais'!I$2,Tabela1[Categoria],'Despesas Gerais'!$A14)</f>
        <v>0</v>
      </c>
      <c r="J14" s="3">
        <f>SUMIFS(Tabela1[Valor],Tabela1[Mês],'Despesas Gerais'!J$2,Tabela1[Categoria],'Despesas Gerais'!$A14)</f>
        <v>0</v>
      </c>
      <c r="K14" s="3">
        <f>SUMIFS(Tabela1[Valor],Tabela1[Mês],'Despesas Gerais'!K$2,Tabela1[Categoria],'Despesas Gerais'!$A14)</f>
        <v>0</v>
      </c>
      <c r="L14" s="3">
        <f>SUMIFS(Tabela1[Valor],Tabela1[Mês],'Despesas Gerais'!L$2,Tabela1[Categoria],'Despesas Gerais'!$A14)</f>
        <v>0</v>
      </c>
      <c r="M14" s="3">
        <f>SUMIFS(Tabela1[Valor],Tabela1[Mês],'Despesas Gerais'!M$2,Tabela1[Categoria],'Despesas Gerais'!$A14)</f>
        <v>0</v>
      </c>
    </row>
    <row r="15" spans="1:13" ht="15" customHeight="1" x14ac:dyDescent="0.3">
      <c r="A15" s="28" t="s">
        <v>58</v>
      </c>
      <c r="B15" s="3">
        <f>SUMIFS(Tabela1[Valor],Tabela1[Mês],'Despesas Gerais'!B$2,Tabela1[Categoria],'Despesas Gerais'!$A15)</f>
        <v>0</v>
      </c>
      <c r="C15" s="3">
        <f>SUMIFS(Tabela1[Valor],Tabela1[Mês],'Despesas Gerais'!C$2,Tabela1[Categoria],'Despesas Gerais'!$A15)</f>
        <v>0</v>
      </c>
      <c r="D15" s="3">
        <f>SUMIFS(Tabela1[Valor],Tabela1[Mês],'Despesas Gerais'!D$2,Tabela1[Categoria],'Despesas Gerais'!$A15)</f>
        <v>0</v>
      </c>
      <c r="E15" s="3">
        <f>SUMIFS(Tabela1[Valor],Tabela1[Mês],'Despesas Gerais'!E$2,Tabela1[Categoria],'Despesas Gerais'!$A15)</f>
        <v>0</v>
      </c>
      <c r="F15" s="3">
        <f>SUMIFS(Tabela1[Valor],Tabela1[Mês],'Despesas Gerais'!F$2,Tabela1[Categoria],'Despesas Gerais'!$A15)</f>
        <v>0</v>
      </c>
      <c r="G15" s="3">
        <f>SUMIFS(Tabela1[Valor],Tabela1[Mês],'Despesas Gerais'!G$2,Tabela1[Categoria],'Despesas Gerais'!$A15)</f>
        <v>0</v>
      </c>
      <c r="H15" s="3">
        <f>SUMIFS(Tabela1[Valor],Tabela1[Mês],'Despesas Gerais'!H$2,Tabela1[Categoria],'Despesas Gerais'!$A15)</f>
        <v>0</v>
      </c>
      <c r="I15" s="3">
        <f>SUMIFS(Tabela1[Valor],Tabela1[Mês],'Despesas Gerais'!I$2,Tabela1[Categoria],'Despesas Gerais'!$A15)</f>
        <v>0</v>
      </c>
      <c r="J15" s="3">
        <f>SUMIFS(Tabela1[Valor],Tabela1[Mês],'Despesas Gerais'!J$2,Tabela1[Categoria],'Despesas Gerais'!$A15)</f>
        <v>0</v>
      </c>
      <c r="K15" s="3">
        <f>SUMIFS(Tabela1[Valor],Tabela1[Mês],'Despesas Gerais'!K$2,Tabela1[Categoria],'Despesas Gerais'!$A15)</f>
        <v>0</v>
      </c>
      <c r="L15" s="3">
        <f>SUMIFS(Tabela1[Valor],Tabela1[Mês],'Despesas Gerais'!L$2,Tabela1[Categoria],'Despesas Gerais'!$A15)</f>
        <v>0</v>
      </c>
      <c r="M15" s="3">
        <f>SUMIFS(Tabela1[Valor],Tabela1[Mês],'Despesas Gerais'!M$2,Tabela1[Categoria],'Despesas Gerais'!$A15)</f>
        <v>0</v>
      </c>
    </row>
    <row r="16" spans="1:13" ht="15" customHeight="1" x14ac:dyDescent="0.3">
      <c r="A16" s="28" t="s">
        <v>13</v>
      </c>
      <c r="B16" s="3">
        <f>SUMIFS(Tabela1[Valor],Tabela1[Mês],'Despesas Gerais'!B$2,Tabela1[Categoria],'Despesas Gerais'!$A16)</f>
        <v>0</v>
      </c>
      <c r="C16" s="3">
        <f>SUMIFS(Tabela1[Valor],Tabela1[Mês],'Despesas Gerais'!C$2,Tabela1[Categoria],'Despesas Gerais'!$A16)</f>
        <v>0</v>
      </c>
      <c r="D16" s="3">
        <f>SUMIFS(Tabela1[Valor],Tabela1[Mês],'Despesas Gerais'!D$2,Tabela1[Categoria],'Despesas Gerais'!$A16)</f>
        <v>0</v>
      </c>
      <c r="E16" s="3">
        <f>SUMIFS(Tabela1[Valor],Tabela1[Mês],'Despesas Gerais'!E$2,Tabela1[Categoria],'Despesas Gerais'!$A16)</f>
        <v>0</v>
      </c>
      <c r="F16" s="3">
        <f>SUMIFS(Tabela1[Valor],Tabela1[Mês],'Despesas Gerais'!F$2,Tabela1[Categoria],'Despesas Gerais'!$A16)</f>
        <v>0</v>
      </c>
      <c r="G16" s="3">
        <f>SUMIFS(Tabela1[Valor],Tabela1[Mês],'Despesas Gerais'!G$2,Tabela1[Categoria],'Despesas Gerais'!$A16)</f>
        <v>0</v>
      </c>
      <c r="H16" s="3">
        <f>SUMIFS(Tabela1[Valor],Tabela1[Mês],'Despesas Gerais'!H$2,Tabela1[Categoria],'Despesas Gerais'!$A16)</f>
        <v>0</v>
      </c>
      <c r="I16" s="3">
        <f>SUMIFS(Tabela1[Valor],Tabela1[Mês],'Despesas Gerais'!I$2,Tabela1[Categoria],'Despesas Gerais'!$A16)</f>
        <v>0</v>
      </c>
      <c r="J16" s="3">
        <f>SUMIFS(Tabela1[Valor],Tabela1[Mês],'Despesas Gerais'!J$2,Tabela1[Categoria],'Despesas Gerais'!$A16)</f>
        <v>0</v>
      </c>
      <c r="K16" s="3">
        <f>SUMIFS(Tabela1[Valor],Tabela1[Mês],'Despesas Gerais'!K$2,Tabela1[Categoria],'Despesas Gerais'!$A16)</f>
        <v>0</v>
      </c>
      <c r="L16" s="3">
        <f>SUMIFS(Tabela1[Valor],Tabela1[Mês],'Despesas Gerais'!L$2,Tabela1[Categoria],'Despesas Gerais'!$A16)</f>
        <v>0</v>
      </c>
      <c r="M16" s="3">
        <f>SUMIFS(Tabela1[Valor],Tabela1[Mês],'Despesas Gerais'!M$2,Tabela1[Categoria],'Despesas Gerais'!$A16)</f>
        <v>0</v>
      </c>
    </row>
    <row r="17" spans="1:14" ht="15" customHeight="1" x14ac:dyDescent="0.3">
      <c r="A17" s="28" t="s">
        <v>11</v>
      </c>
      <c r="B17" s="3">
        <f>SUMIFS(Tabela1[Valor],Tabela1[Mês],'Despesas Gerais'!B$2,Tabela1[Categoria],'Despesas Gerais'!$A17)</f>
        <v>0</v>
      </c>
      <c r="C17" s="3">
        <f>SUMIFS(Tabela1[Valor],Tabela1[Mês],'Despesas Gerais'!C$2,Tabela1[Categoria],'Despesas Gerais'!$A17)</f>
        <v>0</v>
      </c>
      <c r="D17" s="3">
        <f>SUMIFS(Tabela1[Valor],Tabela1[Mês],'Despesas Gerais'!D$2,Tabela1[Categoria],'Despesas Gerais'!$A17)</f>
        <v>0</v>
      </c>
      <c r="E17" s="3">
        <f>SUMIFS(Tabela1[Valor],Tabela1[Mês],'Despesas Gerais'!E$2,Tabela1[Categoria],'Despesas Gerais'!$A17)</f>
        <v>0</v>
      </c>
      <c r="F17" s="3">
        <f>SUMIFS(Tabela1[Valor],Tabela1[Mês],'Despesas Gerais'!F$2,Tabela1[Categoria],'Despesas Gerais'!$A17)</f>
        <v>0</v>
      </c>
      <c r="G17" s="3">
        <f>SUMIFS(Tabela1[Valor],Tabela1[Mês],'Despesas Gerais'!G$2,Tabela1[Categoria],'Despesas Gerais'!$A17)</f>
        <v>0</v>
      </c>
      <c r="H17" s="3">
        <f>SUMIFS(Tabela1[Valor],Tabela1[Mês],'Despesas Gerais'!H$2,Tabela1[Categoria],'Despesas Gerais'!$A17)</f>
        <v>0</v>
      </c>
      <c r="I17" s="3">
        <f>SUMIFS(Tabela1[Valor],Tabela1[Mês],'Despesas Gerais'!I$2,Tabela1[Categoria],'Despesas Gerais'!$A17)</f>
        <v>0</v>
      </c>
      <c r="J17" s="3">
        <f>SUMIFS(Tabela1[Valor],Tabela1[Mês],'Despesas Gerais'!J$2,Tabela1[Categoria],'Despesas Gerais'!$A17)</f>
        <v>0</v>
      </c>
      <c r="K17" s="3">
        <f>SUMIFS(Tabela1[Valor],Tabela1[Mês],'Despesas Gerais'!K$2,Tabela1[Categoria],'Despesas Gerais'!$A17)</f>
        <v>0</v>
      </c>
      <c r="L17" s="3">
        <f>SUMIFS(Tabela1[Valor],Tabela1[Mês],'Despesas Gerais'!L$2,Tabela1[Categoria],'Despesas Gerais'!$A17)</f>
        <v>0</v>
      </c>
      <c r="M17" s="3">
        <f>SUMIFS(Tabela1[Valor],Tabela1[Mês],'Despesas Gerais'!M$2,Tabela1[Categoria],'Despesas Gerais'!$A17)</f>
        <v>0</v>
      </c>
    </row>
    <row r="18" spans="1:14" ht="17.3" customHeight="1" x14ac:dyDescent="0.3">
      <c r="A18" s="28" t="s">
        <v>37</v>
      </c>
      <c r="B18" s="3">
        <f>SUMIFS(Tabela1[Valor],Tabela1[Mês],'Despesas Gerais'!B$2,Tabela1[Categoria],'Despesas Gerais'!$A18)</f>
        <v>0</v>
      </c>
      <c r="C18" s="3">
        <f>SUMIFS(Tabela1[Valor],Tabela1[Mês],'Despesas Gerais'!C$2,Tabela1[Categoria],'Despesas Gerais'!$A18)</f>
        <v>0</v>
      </c>
      <c r="D18" s="3">
        <f>SUMIFS(Tabela1[Valor],Tabela1[Mês],'Despesas Gerais'!D$2,Tabela1[Categoria],'Despesas Gerais'!$A18)</f>
        <v>0</v>
      </c>
      <c r="E18" s="3">
        <f>SUMIFS(Tabela1[Valor],Tabela1[Mês],'Despesas Gerais'!E$2,Tabela1[Categoria],'Despesas Gerais'!$A18)</f>
        <v>0</v>
      </c>
      <c r="F18" s="3">
        <f>SUMIFS(Tabela1[Valor],Tabela1[Mês],'Despesas Gerais'!F$2,Tabela1[Categoria],'Despesas Gerais'!$A18)</f>
        <v>0</v>
      </c>
      <c r="G18" s="3">
        <f>SUMIFS(Tabela1[Valor],Tabela1[Mês],'Despesas Gerais'!G$2,Tabela1[Categoria],'Despesas Gerais'!$A18)</f>
        <v>0</v>
      </c>
      <c r="H18" s="3">
        <f>SUMIFS(Tabela1[Valor],Tabela1[Mês],'Despesas Gerais'!H$2,Tabela1[Categoria],'Despesas Gerais'!$A18)</f>
        <v>0</v>
      </c>
      <c r="I18" s="3">
        <f>SUMIFS(Tabela1[Valor],Tabela1[Mês],'Despesas Gerais'!I$2,Tabela1[Categoria],'Despesas Gerais'!$A18)</f>
        <v>0</v>
      </c>
      <c r="J18" s="3">
        <f>SUMIFS(Tabela1[Valor],Tabela1[Mês],'Despesas Gerais'!J$2,Tabela1[Categoria],'Despesas Gerais'!$A18)</f>
        <v>0</v>
      </c>
      <c r="K18" s="3">
        <f>SUMIFS(Tabela1[Valor],Tabela1[Mês],'Despesas Gerais'!K$2,Tabela1[Categoria],'Despesas Gerais'!$A18)</f>
        <v>0</v>
      </c>
      <c r="L18" s="3">
        <f>SUMIFS(Tabela1[Valor],Tabela1[Mês],'Despesas Gerais'!L$2,Tabela1[Categoria],'Despesas Gerais'!$A18)</f>
        <v>0</v>
      </c>
      <c r="M18" s="3">
        <f>SUMIFS(Tabela1[Valor],Tabela1[Mês],'Despesas Gerais'!M$2,Tabela1[Categoria],'Despesas Gerais'!$A18)</f>
        <v>0</v>
      </c>
    </row>
    <row r="19" spans="1:14" ht="15" customHeight="1" x14ac:dyDescent="0.3"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</row>
    <row r="20" spans="1:14" s="64" customFormat="1" ht="18" customHeight="1" x14ac:dyDescent="0.3">
      <c r="A20" s="62" t="s">
        <v>2</v>
      </c>
      <c r="B20" s="69">
        <f t="shared" ref="B20:M20" si="1">SUM(B7:B18)</f>
        <v>50</v>
      </c>
      <c r="C20" s="69">
        <f t="shared" si="1"/>
        <v>0</v>
      </c>
      <c r="D20" s="69">
        <f t="shared" si="1"/>
        <v>0</v>
      </c>
      <c r="E20" s="69">
        <f t="shared" si="1"/>
        <v>0</v>
      </c>
      <c r="F20" s="69">
        <f t="shared" si="1"/>
        <v>0</v>
      </c>
      <c r="G20" s="69">
        <f t="shared" si="1"/>
        <v>0</v>
      </c>
      <c r="H20" s="69">
        <f t="shared" si="1"/>
        <v>0</v>
      </c>
      <c r="I20" s="69">
        <f t="shared" si="1"/>
        <v>0</v>
      </c>
      <c r="J20" s="69">
        <f t="shared" si="1"/>
        <v>0</v>
      </c>
      <c r="K20" s="69">
        <f t="shared" si="1"/>
        <v>0</v>
      </c>
      <c r="L20" s="69">
        <f t="shared" si="1"/>
        <v>0</v>
      </c>
      <c r="M20" s="69">
        <f t="shared" si="1"/>
        <v>0</v>
      </c>
      <c r="N20" s="70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F15"/>
  <sheetViews>
    <sheetView zoomScaleNormal="100" workbookViewId="0">
      <selection activeCell="B2" sqref="B2"/>
    </sheetView>
  </sheetViews>
  <sheetFormatPr defaultRowHeight="15" x14ac:dyDescent="0.3"/>
  <cols>
    <col min="1" max="1" width="4.28515625" style="4" customWidth="1"/>
    <col min="2" max="2" width="16.28515625" style="4" bestFit="1" customWidth="1"/>
    <col min="3" max="3" width="17.140625" style="4" customWidth="1"/>
    <col min="4" max="4" width="4.42578125" style="4" customWidth="1"/>
    <col min="5" max="5" width="10.42578125" style="4" bestFit="1" customWidth="1"/>
    <col min="6" max="6" width="14.28515625" style="4" bestFit="1" customWidth="1"/>
    <col min="7" max="13" width="9.140625" style="4"/>
    <col min="14" max="14" width="7.140625" style="4" customWidth="1"/>
    <col min="15" max="16384" width="9.140625" style="4"/>
  </cols>
  <sheetData>
    <row r="2" spans="2:6" x14ac:dyDescent="0.3">
      <c r="B2" s="46" t="s">
        <v>1</v>
      </c>
      <c r="C2" s="46" t="s">
        <v>23</v>
      </c>
    </row>
    <row r="3" spans="2:6" x14ac:dyDescent="0.3">
      <c r="B3" s="78" t="s">
        <v>2</v>
      </c>
      <c r="C3" s="79">
        <f>SUM(_xlfn.ANCHORARRAY(F4))</f>
        <v>50</v>
      </c>
      <c r="E3" s="4" t="s">
        <v>0</v>
      </c>
      <c r="F3" s="4" t="s">
        <v>28</v>
      </c>
    </row>
    <row r="4" spans="2:6" x14ac:dyDescent="0.3">
      <c r="E4" s="4" t="str" cm="1">
        <f t="array" ref="E4:E15">TRANSPOSE(Meses)</f>
        <v>Janeiro</v>
      </c>
      <c r="F4" s="77" cm="1">
        <f t="array" ref="F4:F15">IF(B2="Despesas",TRANSPOSE(_xlfn._xlws.FILTER('Despesas Gerais'!B7:M18,Categorias='Gráfico Categoria'!C2)),IF(B2="Receita_Líquida",TRANSPOSE(_xlfn._xlws.FILTER('Receita Líquida'!B3:M14,Receita_Líquida='Gráfico Categoria'!C2)),""))</f>
        <v>50</v>
      </c>
    </row>
    <row r="5" spans="2:6" x14ac:dyDescent="0.3">
      <c r="E5" s="4" t="str">
        <v>Fevereiro</v>
      </c>
      <c r="F5" s="77">
        <v>0</v>
      </c>
    </row>
    <row r="6" spans="2:6" x14ac:dyDescent="0.3">
      <c r="E6" s="4" t="str">
        <v>Março</v>
      </c>
      <c r="F6" s="77">
        <v>0</v>
      </c>
    </row>
    <row r="7" spans="2:6" x14ac:dyDescent="0.3">
      <c r="E7" s="4" t="str">
        <v>Abril</v>
      </c>
      <c r="F7" s="77">
        <v>0</v>
      </c>
    </row>
    <row r="8" spans="2:6" x14ac:dyDescent="0.3">
      <c r="E8" s="4" t="str">
        <v>Maio</v>
      </c>
      <c r="F8" s="77">
        <v>0</v>
      </c>
    </row>
    <row r="9" spans="2:6" x14ac:dyDescent="0.3">
      <c r="E9" s="4" t="str">
        <v>Junho</v>
      </c>
      <c r="F9" s="77">
        <v>0</v>
      </c>
    </row>
    <row r="10" spans="2:6" x14ac:dyDescent="0.3">
      <c r="E10" s="4" t="str">
        <v>Julho</v>
      </c>
      <c r="F10" s="77">
        <v>0</v>
      </c>
    </row>
    <row r="11" spans="2:6" x14ac:dyDescent="0.3">
      <c r="E11" s="4" t="str">
        <v>Agosto</v>
      </c>
      <c r="F11" s="77">
        <v>0</v>
      </c>
    </row>
    <row r="12" spans="2:6" x14ac:dyDescent="0.3">
      <c r="E12" s="4" t="str">
        <v>Setembro</v>
      </c>
      <c r="F12" s="77">
        <v>0</v>
      </c>
    </row>
    <row r="13" spans="2:6" x14ac:dyDescent="0.3">
      <c r="E13" s="4" t="str">
        <v>Outubro</v>
      </c>
      <c r="F13" s="77">
        <v>0</v>
      </c>
    </row>
    <row r="14" spans="2:6" x14ac:dyDescent="0.3">
      <c r="E14" s="4" t="str">
        <v>Novembro</v>
      </c>
      <c r="F14" s="77">
        <v>0</v>
      </c>
    </row>
    <row r="15" spans="2:6" x14ac:dyDescent="0.3">
      <c r="E15" s="4" t="str">
        <v>Dezembro</v>
      </c>
      <c r="F15" s="77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B2" xr:uid="{C672E275-C985-431E-B4B0-CE130F067F5D}">
      <formula1>"Despesas, Receita_Líquida"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5" t="s">
        <v>0</v>
      </c>
      <c r="B2" s="6"/>
      <c r="C2" s="14" t="s">
        <v>20</v>
      </c>
      <c r="D2" s="15" t="s">
        <v>3</v>
      </c>
      <c r="E2" s="6"/>
      <c r="F2" s="5" t="s">
        <v>1</v>
      </c>
      <c r="G2" s="6"/>
      <c r="H2" s="12" t="s">
        <v>18</v>
      </c>
      <c r="I2" s="13" t="s">
        <v>45</v>
      </c>
      <c r="J2" s="4"/>
      <c r="K2" s="80" t="s">
        <v>27</v>
      </c>
      <c r="L2" s="81"/>
      <c r="M2" s="39"/>
      <c r="N2" s="80" t="s">
        <v>7</v>
      </c>
      <c r="O2" s="81"/>
      <c r="P2" s="40"/>
    </row>
    <row r="3" spans="1:16" ht="15" x14ac:dyDescent="0.3">
      <c r="A3" s="7" t="str">
        <f>PROPER(TEXT("01/01","MMMM"))</f>
        <v>Janeiro</v>
      </c>
      <c r="B3" s="6"/>
      <c r="C3" s="16">
        <f>'Receita Líquida'!B16</f>
        <v>150</v>
      </c>
      <c r="D3" s="17">
        <f>SUM('Receita Líquida'!B$13:B$14)</f>
        <v>0</v>
      </c>
      <c r="E3" s="8"/>
      <c r="F3" s="22">
        <f>SUM('Despesas Gerais'!B20:B20)</f>
        <v>50</v>
      </c>
      <c r="G3" s="9"/>
      <c r="H3" s="16">
        <f>I3</f>
        <v>100</v>
      </c>
      <c r="I3" s="19">
        <f>'Despesas Gerais'!B4</f>
        <v>100</v>
      </c>
      <c r="J3" s="4"/>
      <c r="K3" s="42" t="s">
        <v>15</v>
      </c>
      <c r="L3" s="17">
        <f>SUM('Receita Líquida'!B3:M7)</f>
        <v>150</v>
      </c>
      <c r="M3" s="8"/>
      <c r="N3" s="44" t="str" cm="1">
        <f t="array" ref="N3:N14">Categorias</f>
        <v>Alimentação</v>
      </c>
      <c r="O3" s="45">
        <f>SUM('Despesas Gerais'!B7:M7)</f>
        <v>50</v>
      </c>
      <c r="P3" s="40"/>
    </row>
    <row r="4" spans="1:16" ht="15" x14ac:dyDescent="0.3">
      <c r="A4" s="7" t="str">
        <f>PROPER(TEXT("01/02","MMMM"))</f>
        <v>Fevereiro</v>
      </c>
      <c r="B4" s="6"/>
      <c r="C4" s="16">
        <f>'Receita Líquida'!C16</f>
        <v>0</v>
      </c>
      <c r="D4" s="17">
        <f>SUM('Receita Líquida'!C$13:C$14)</f>
        <v>0</v>
      </c>
      <c r="E4" s="8"/>
      <c r="F4" s="22">
        <f>SUM('Despesas Gerais'!C20:C20)</f>
        <v>0</v>
      </c>
      <c r="G4" s="9"/>
      <c r="H4" s="16">
        <f t="shared" ref="H4:H14" si="0">I4-I3</f>
        <v>0</v>
      </c>
      <c r="I4" s="19">
        <f>'Despesas Gerais'!C4</f>
        <v>100</v>
      </c>
      <c r="J4" s="4"/>
      <c r="K4" s="42" t="s">
        <v>10</v>
      </c>
      <c r="L4" s="17">
        <f>SUM('Receita Líquida'!B8:M12)</f>
        <v>0</v>
      </c>
      <c r="M4" s="8"/>
      <c r="N4" s="44" t="str">
        <v>Carro - Gas</v>
      </c>
      <c r="O4" s="45">
        <f>SUM('Despesas Gerais'!B8:M8)</f>
        <v>0</v>
      </c>
      <c r="P4" s="40"/>
    </row>
    <row r="5" spans="1:16" ht="15" x14ac:dyDescent="0.3">
      <c r="A5" s="7" t="str">
        <f>PROPER(TEXT("01/03","MMMM"))</f>
        <v>Março</v>
      </c>
      <c r="B5" s="6"/>
      <c r="C5" s="16">
        <f>'Receita Líquida'!D16</f>
        <v>0</v>
      </c>
      <c r="D5" s="17">
        <f>SUM('Receita Líquida'!D$13:D$14)</f>
        <v>0</v>
      </c>
      <c r="E5" s="8"/>
      <c r="F5" s="22">
        <f>SUM('Despesas Gerais'!D20:D20)</f>
        <v>0</v>
      </c>
      <c r="G5" s="9"/>
      <c r="H5" s="16">
        <f t="shared" si="0"/>
        <v>0</v>
      </c>
      <c r="I5" s="19">
        <f>'Despesas Gerais'!D4</f>
        <v>100</v>
      </c>
      <c r="J5" s="4"/>
      <c r="K5" s="42" t="s">
        <v>17</v>
      </c>
      <c r="L5" s="17">
        <f>SUM('Receita Líquida'!B16:M16)</f>
        <v>150</v>
      </c>
      <c r="M5" s="8"/>
      <c r="N5" s="44" t="str">
        <v>Condomínio</v>
      </c>
      <c r="O5" s="45">
        <f>SUM('Despesas Gerais'!B9:M9)</f>
        <v>0</v>
      </c>
      <c r="P5" s="40"/>
    </row>
    <row r="6" spans="1:16" ht="15" x14ac:dyDescent="0.3">
      <c r="A6" s="7" t="str">
        <f>PROPER(TEXT("01/04","MMMM"))</f>
        <v>Abril</v>
      </c>
      <c r="B6" s="6"/>
      <c r="C6" s="16">
        <f>'Receita Líquida'!E16</f>
        <v>0</v>
      </c>
      <c r="D6" s="17">
        <f>SUM('Receita Líquida'!E$13:E$14)</f>
        <v>0</v>
      </c>
      <c r="E6" s="8"/>
      <c r="F6" s="22">
        <f>SUM('Despesas Gerais'!E20:E20)</f>
        <v>0</v>
      </c>
      <c r="G6" s="9"/>
      <c r="H6" s="16">
        <f t="shared" si="0"/>
        <v>0</v>
      </c>
      <c r="I6" s="19">
        <f>'Despesas Gerais'!E4</f>
        <v>100</v>
      </c>
      <c r="J6" s="4"/>
      <c r="K6" s="42" t="s">
        <v>26</v>
      </c>
      <c r="L6" s="17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50</v>
      </c>
      <c r="M6" s="8"/>
      <c r="N6" s="44" t="str">
        <v>Cursos</v>
      </c>
      <c r="O6" s="45">
        <f>SUM('Despesas Gerais'!B10:M10)</f>
        <v>0</v>
      </c>
      <c r="P6" s="40"/>
    </row>
    <row r="7" spans="1:16" ht="15" x14ac:dyDescent="0.3">
      <c r="A7" s="7" t="str">
        <f>PROPER(TEXT("01/05","MMMM"))</f>
        <v>Maio</v>
      </c>
      <c r="B7" s="6"/>
      <c r="C7" s="16">
        <f>'Receita Líquida'!F16</f>
        <v>0</v>
      </c>
      <c r="D7" s="17">
        <f>SUM('Receita Líquida'!F$13:F$14)</f>
        <v>0</v>
      </c>
      <c r="E7" s="8"/>
      <c r="F7" s="22">
        <f>SUM('Despesas Gerais'!F20:F20)</f>
        <v>0</v>
      </c>
      <c r="G7" s="9"/>
      <c r="H7" s="16">
        <f t="shared" si="0"/>
        <v>0</v>
      </c>
      <c r="I7" s="19">
        <f>'Despesas Gerais'!F4</f>
        <v>100</v>
      </c>
      <c r="J7" s="4"/>
      <c r="K7" s="42" t="s">
        <v>19</v>
      </c>
      <c r="L7" s="17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8"/>
      <c r="N7" s="44" t="str">
        <v>Eletrônicos</v>
      </c>
      <c r="O7" s="45">
        <f>SUM('Despesas Gerais'!B11:M11)</f>
        <v>0</v>
      </c>
      <c r="P7" s="40"/>
    </row>
    <row r="8" spans="1:16" ht="15" x14ac:dyDescent="0.3">
      <c r="A8" s="7" t="str">
        <f>PROPER(TEXT("01/06","MMMM"))</f>
        <v>Junho</v>
      </c>
      <c r="B8" s="6"/>
      <c r="C8" s="16">
        <f>'Receita Líquida'!G16</f>
        <v>0</v>
      </c>
      <c r="D8" s="17">
        <f>SUM('Receita Líquida'!G$13:G$14)</f>
        <v>0</v>
      </c>
      <c r="E8" s="8"/>
      <c r="F8" s="22">
        <f>SUM('Despesas Gerais'!G20:G20)</f>
        <v>0</v>
      </c>
      <c r="G8" s="9"/>
      <c r="H8" s="16">
        <f t="shared" si="0"/>
        <v>0</v>
      </c>
      <c r="I8" s="19">
        <f>'Despesas Gerais'!G4</f>
        <v>100</v>
      </c>
      <c r="J8" s="4"/>
      <c r="K8" s="42" t="s">
        <v>25</v>
      </c>
      <c r="L8" s="17">
        <f>SUM(L6:L7)</f>
        <v>50</v>
      </c>
      <c r="M8" s="8"/>
      <c r="N8" s="44" t="str">
        <v>Entret e Livros</v>
      </c>
      <c r="O8" s="45">
        <f>SUM('Despesas Gerais'!B12:M12)</f>
        <v>0</v>
      </c>
      <c r="P8" s="40"/>
    </row>
    <row r="9" spans="1:16" ht="15" x14ac:dyDescent="0.3">
      <c r="A9" s="7" t="str">
        <f>PROPER(TEXT("01/07","MMMM"))</f>
        <v>Julho</v>
      </c>
      <c r="B9" s="6"/>
      <c r="C9" s="16">
        <f>'Receita Líquida'!H16</f>
        <v>0</v>
      </c>
      <c r="D9" s="17">
        <f>SUM('Receita Líquida'!H$13:H$14)</f>
        <v>0</v>
      </c>
      <c r="E9" s="8"/>
      <c r="F9" s="22">
        <f>SUM('Despesas Gerais'!H20:H20)</f>
        <v>0</v>
      </c>
      <c r="G9" s="9"/>
      <c r="H9" s="16">
        <f t="shared" si="0"/>
        <v>0</v>
      </c>
      <c r="I9" s="19">
        <f>'Despesas Gerais'!H4</f>
        <v>100</v>
      </c>
      <c r="J9" s="4"/>
      <c r="K9" s="42" t="s">
        <v>12</v>
      </c>
      <c r="L9" s="19">
        <f>'Despesas Gerais'!M4</f>
        <v>100</v>
      </c>
      <c r="M9" s="9"/>
      <c r="N9" s="44" t="str">
        <v>Farm. e Saúde.</v>
      </c>
      <c r="O9" s="45">
        <f>SUM('Despesas Gerais'!B13:M13)</f>
        <v>0</v>
      </c>
      <c r="P9" s="40"/>
    </row>
    <row r="10" spans="1:16" ht="15.7" thickBot="1" x14ac:dyDescent="0.35">
      <c r="A10" s="7" t="str">
        <f>PROPER(TEXT("01/08","MMMM"))</f>
        <v>Agosto</v>
      </c>
      <c r="B10" s="6"/>
      <c r="C10" s="16">
        <f>'Receita Líquida'!I16</f>
        <v>0</v>
      </c>
      <c r="D10" s="17">
        <f>SUM('Receita Líquida'!I$13:I$14)</f>
        <v>0</v>
      </c>
      <c r="E10" s="8"/>
      <c r="F10" s="22">
        <f>SUM('Despesas Gerais'!I20:I20)</f>
        <v>0</v>
      </c>
      <c r="G10" s="9"/>
      <c r="H10" s="16">
        <f t="shared" si="0"/>
        <v>0</v>
      </c>
      <c r="I10" s="19">
        <f>'Despesas Gerais'!I4</f>
        <v>100</v>
      </c>
      <c r="J10" s="4"/>
      <c r="K10" s="43" t="s">
        <v>9</v>
      </c>
      <c r="L10" s="21">
        <f>'Gráfico Anual'!D15</f>
        <v>0</v>
      </c>
      <c r="M10" s="9"/>
      <c r="N10" s="44" t="str">
        <v>G. Residencial</v>
      </c>
      <c r="O10" s="45">
        <f>SUM('Despesas Gerais'!B14:M14)</f>
        <v>0</v>
      </c>
      <c r="P10" s="40"/>
    </row>
    <row r="11" spans="1:16" ht="15" x14ac:dyDescent="0.3">
      <c r="A11" s="7" t="str">
        <f>PROPER(TEXT("01/09","MMMM"))</f>
        <v>Setembro</v>
      </c>
      <c r="B11" s="6"/>
      <c r="C11" s="16">
        <f>'Receita Líquida'!J16</f>
        <v>0</v>
      </c>
      <c r="D11" s="17">
        <f>SUM('Receita Líquida'!J$13:J$14)</f>
        <v>0</v>
      </c>
      <c r="E11" s="8"/>
      <c r="F11" s="22">
        <f>SUM('Despesas Gerais'!J20:J20)</f>
        <v>0</v>
      </c>
      <c r="G11" s="9"/>
      <c r="H11" s="16">
        <f t="shared" si="0"/>
        <v>0</v>
      </c>
      <c r="I11" s="19">
        <f>'Despesas Gerais'!J4</f>
        <v>100</v>
      </c>
      <c r="J11" s="4"/>
      <c r="K11" s="4"/>
      <c r="L11" s="9"/>
      <c r="M11" s="9"/>
      <c r="N11" s="42" t="str">
        <v>Jogos</v>
      </c>
      <c r="O11" s="45">
        <f>SUM('Despesas Gerais'!B15:M15)</f>
        <v>0</v>
      </c>
      <c r="P11" s="40"/>
    </row>
    <row r="12" spans="1:16" ht="15.7" customHeight="1" x14ac:dyDescent="0.3">
      <c r="A12" s="7" t="str">
        <f>PROPER(TEXT("01/10","MMMM"))</f>
        <v>Outubro</v>
      </c>
      <c r="B12" s="6"/>
      <c r="C12" s="16">
        <f>'Receita Líquida'!K16</f>
        <v>0</v>
      </c>
      <c r="D12" s="17">
        <f>SUM('Receita Líquida'!K$13:K$14)</f>
        <v>0</v>
      </c>
      <c r="E12" s="8"/>
      <c r="F12" s="22">
        <f>SUM('Despesas Gerais'!K20:K20)</f>
        <v>0</v>
      </c>
      <c r="G12" s="9"/>
      <c r="H12" s="16">
        <f t="shared" si="0"/>
        <v>0</v>
      </c>
      <c r="I12" s="19">
        <f>'Despesas Gerais'!K4</f>
        <v>100</v>
      </c>
      <c r="J12" s="4"/>
      <c r="K12" s="40"/>
      <c r="L12" s="41"/>
      <c r="M12" s="41"/>
      <c r="N12" s="74" t="str">
        <v>Rolê</v>
      </c>
      <c r="O12" s="45">
        <f>SUM('Despesas Gerais'!B16:M16)</f>
        <v>0</v>
      </c>
      <c r="P12" s="41"/>
    </row>
    <row r="13" spans="1:16" ht="15" x14ac:dyDescent="0.3">
      <c r="A13" s="7" t="str">
        <f>PROPER(TEXT("01/11","MMMM"))</f>
        <v>Novembro</v>
      </c>
      <c r="B13" s="6"/>
      <c r="C13" s="16">
        <f>'Receita Líquida'!L16</f>
        <v>0</v>
      </c>
      <c r="D13" s="17">
        <f>SUM('Receita Líquida'!L$13:L$14)</f>
        <v>0</v>
      </c>
      <c r="E13" s="8"/>
      <c r="F13" s="22">
        <f>SUM('Despesas Gerais'!L20:L20)</f>
        <v>0</v>
      </c>
      <c r="G13" s="9"/>
      <c r="H13" s="16">
        <f t="shared" si="0"/>
        <v>0</v>
      </c>
      <c r="I13" s="19">
        <f>'Despesas Gerais'!L4</f>
        <v>100</v>
      </c>
      <c r="J13" s="4"/>
      <c r="K13" s="40"/>
      <c r="L13" s="41"/>
      <c r="M13" s="41"/>
      <c r="N13" s="74" t="str">
        <v>Roupas</v>
      </c>
      <c r="O13" s="45">
        <f>SUM('Despesas Gerais'!B17:M17)</f>
        <v>0</v>
      </c>
      <c r="P13" s="41"/>
    </row>
    <row r="14" spans="1:16" ht="15" customHeight="1" thickBot="1" x14ac:dyDescent="0.35">
      <c r="A14" s="7" t="str">
        <f>PROPER(TEXT("01/12","MMMM"))</f>
        <v>Dezembro</v>
      </c>
      <c r="B14" s="6"/>
      <c r="C14" s="16">
        <f>'Receita Líquida'!M16</f>
        <v>0</v>
      </c>
      <c r="D14" s="17">
        <f>SUM('Receita Líquida'!M$13:M$14)</f>
        <v>0</v>
      </c>
      <c r="E14" s="8"/>
      <c r="F14" s="22">
        <f>SUM('Despesas Gerais'!M20:N20)</f>
        <v>0</v>
      </c>
      <c r="G14" s="9"/>
      <c r="H14" s="16">
        <f t="shared" si="0"/>
        <v>0</v>
      </c>
      <c r="I14" s="19">
        <f>'Despesas Gerais'!M4</f>
        <v>100</v>
      </c>
      <c r="J14" s="4"/>
      <c r="K14" s="40"/>
      <c r="L14" s="40"/>
      <c r="M14" s="40"/>
      <c r="N14" s="75" t="str">
        <v>G. Gerais</v>
      </c>
      <c r="O14" s="76">
        <f>SUM('Despesas Gerais'!B18:M18)</f>
        <v>0</v>
      </c>
      <c r="P14" s="40"/>
    </row>
    <row r="15" spans="1:16" ht="15.7" thickBot="1" x14ac:dyDescent="0.35">
      <c r="A15" s="7" t="s">
        <v>5</v>
      </c>
      <c r="B15" s="6"/>
      <c r="C15" s="18">
        <f>SUM(C3:C14)</f>
        <v>150</v>
      </c>
      <c r="D15" s="17">
        <f>SUM(D3:D14)</f>
        <v>0</v>
      </c>
      <c r="E15" s="8"/>
      <c r="F15" s="22">
        <f>SUM(F3:F14)</f>
        <v>50</v>
      </c>
      <c r="G15" s="9"/>
      <c r="H15" s="26" t="s">
        <v>12</v>
      </c>
      <c r="I15" s="21">
        <f>'Gráfico Anual'!L9</f>
        <v>100</v>
      </c>
      <c r="J15" s="4"/>
      <c r="K15" s="40"/>
      <c r="L15" s="40"/>
      <c r="M15" s="40"/>
      <c r="N15" s="40"/>
      <c r="O15" s="40"/>
      <c r="P15" s="40"/>
    </row>
    <row r="16" spans="1:16" ht="15" x14ac:dyDescent="0.3">
      <c r="A16" s="7" t="s">
        <v>6</v>
      </c>
      <c r="B16" s="6"/>
      <c r="C16" s="18">
        <f>AVERAGE(C3:C14)</f>
        <v>12.5</v>
      </c>
      <c r="D16" s="17">
        <f>AVERAGE(D3:D14)</f>
        <v>0</v>
      </c>
      <c r="E16" s="8"/>
      <c r="F16" s="23">
        <f>AVERAGE(F3:F14)</f>
        <v>4.166666666666667</v>
      </c>
      <c r="G16" s="8"/>
      <c r="H16" s="6"/>
      <c r="I16" s="11"/>
      <c r="J16" s="4"/>
      <c r="K16" s="40"/>
      <c r="L16" s="40"/>
      <c r="M16" s="40"/>
      <c r="N16" s="40"/>
      <c r="O16" s="40"/>
      <c r="P16" s="40"/>
    </row>
    <row r="17" spans="1:16" ht="15" x14ac:dyDescent="0.3">
      <c r="A17" s="7" t="s">
        <v>31</v>
      </c>
      <c r="B17" s="6"/>
      <c r="C17" s="16">
        <f>SUM(C3:C8)</f>
        <v>150</v>
      </c>
      <c r="D17" s="19">
        <f>SUM(D3:D8)</f>
        <v>0</v>
      </c>
      <c r="E17" s="9"/>
      <c r="F17" s="24">
        <f>SUM(F3:F8)</f>
        <v>50</v>
      </c>
      <c r="G17" s="6"/>
      <c r="H17" s="8"/>
      <c r="I17" s="4"/>
      <c r="J17" s="4"/>
      <c r="K17" s="40"/>
      <c r="L17" s="40"/>
      <c r="M17" s="40"/>
      <c r="N17" s="40"/>
      <c r="O17" s="40"/>
      <c r="P17" s="40"/>
    </row>
    <row r="18" spans="1:16" ht="15.7" thickBot="1" x14ac:dyDescent="0.35">
      <c r="A18" s="10" t="s">
        <v>32</v>
      </c>
      <c r="B18" s="6"/>
      <c r="C18" s="20">
        <f>SUM($C$9:$C$14)</f>
        <v>0</v>
      </c>
      <c r="D18" s="21">
        <f>SUM($D$9:$D$14)</f>
        <v>0</v>
      </c>
      <c r="E18" s="9"/>
      <c r="F18" s="25">
        <f>SUM($F$9:$F$14)</f>
        <v>0</v>
      </c>
      <c r="G18" s="6"/>
      <c r="H18" s="6"/>
      <c r="I18" s="4"/>
      <c r="J18" s="4"/>
      <c r="K18" s="40"/>
      <c r="L18" s="40"/>
      <c r="M18" s="40"/>
      <c r="N18" s="40"/>
      <c r="O18" s="40"/>
      <c r="P18" s="40"/>
    </row>
    <row r="19" spans="1:16" ht="15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0"/>
      <c r="L19" s="40"/>
      <c r="M19" s="40"/>
      <c r="N19" s="40"/>
      <c r="O19" s="40"/>
      <c r="P19" s="40"/>
    </row>
    <row r="20" spans="1:16" x14ac:dyDescent="0.25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</row>
    <row r="21" spans="1:16" x14ac:dyDescent="0.25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Saldo &amp; Mov.</vt:lpstr>
      <vt:lpstr>Receita Líquida</vt:lpstr>
      <vt:lpstr>Despesas Gerais</vt:lpstr>
      <vt:lpstr>Gráfico Categoria</vt:lpstr>
      <vt:lpstr>Gráfico Anual</vt:lpstr>
      <vt:lpstr>Ativos</vt:lpstr>
      <vt:lpstr>Categorias</vt:lpstr>
      <vt:lpstr>Dash</vt:lpstr>
      <vt:lpstr>Despesas</vt:lpstr>
      <vt:lpstr>Investimentos</vt:lpstr>
      <vt:lpstr>Item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2023-11-05T16:29:53Z</dcterms:modified>
</cp:coreProperties>
</file>