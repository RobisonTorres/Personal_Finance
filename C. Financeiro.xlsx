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70FDD21-6B05-4FD2-ADCC-1A788F393972}" xr6:coauthVersionLast="47" xr6:coauthVersionMax="47" xr10:uidLastSave="{00000000-0000-0000-0000-000000000000}"/>
  <bookViews>
    <workbookView xWindow="-114" yWindow="-114" windowWidth="19704" windowHeight="11178" tabRatio="797" xr2:uid="{00000000-000D-0000-FFFF-FFFF00000000}"/>
  </bookViews>
  <sheets>
    <sheet name="Saldo &amp; Mov." sheetId="12" r:id="rId1"/>
    <sheet name="Receita Líquida" sheetId="8" r:id="rId2"/>
    <sheet name="Despesas Gerais" sheetId="1" r:id="rId3"/>
    <sheet name="Gráfico Categorias" sheetId="14" r:id="rId4"/>
    <sheet name="Gráfico Anual" sheetId="13" r:id="rId5"/>
  </sheets>
  <definedNames>
    <definedName name="Ativos">'Saldo &amp; Mov.'!$B$9:$B$11</definedName>
    <definedName name="Categorias">'Despesas Gerais'!$A$7:$A$18</definedName>
    <definedName name="Dash">'Gráfico Anual'!$A$1:$P$26</definedName>
    <definedName name="Despesas">'Despesas Gerais'!$A$7:$A$18</definedName>
    <definedName name="Investimentos">'Receita Líquida'!$A$13:$A$14</definedName>
    <definedName name="Item">'Despesas Gerais'!$A$7:$A$18</definedName>
    <definedName name="Meses">'Receita Líquida'!$B$2:$M$2</definedName>
    <definedName name="Perdas">'Receita Líquida'!$A$8:$A$12</definedName>
    <definedName name="Receita_Líquida">'Receita Líquida'!$A$3:$A$14</definedName>
    <definedName name="Receitas">'Receita Líquida'!$A$3:$A$7</definedName>
    <definedName name="Transferir">'Saldo &amp; Mov.'!$B$9:$B$11</definedName>
    <definedName name="Z_12641207_4FA9_4498_AEA1_9BC1962A4F9A_.wvu.Rows" localSheetId="2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2" l="1"/>
  <c r="C18" i="12"/>
  <c r="C19" i="12"/>
  <c r="A18" i="8" l="1"/>
  <c r="C17" i="12"/>
  <c r="I6" i="14" a="1"/>
  <c r="I6" i="14" s="1"/>
  <c r="B6" i="14" a="1"/>
  <c r="B6" i="14" s="1"/>
  <c r="E3" i="12" l="1" a="1"/>
  <c r="E3" i="12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A14" i="13" l="1"/>
  <c r="A13" i="13"/>
  <c r="A12" i="13"/>
  <c r="A11" i="13"/>
  <c r="A10" i="13"/>
  <c r="A9" i="13"/>
  <c r="A8" i="13"/>
  <c r="A7" i="13"/>
  <c r="A6" i="13"/>
  <c r="A5" i="13"/>
  <c r="A4" i="13"/>
  <c r="A3" i="13"/>
  <c r="C258" i="12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M2" i="8"/>
  <c r="L2" i="8"/>
  <c r="K2" i="8"/>
  <c r="J2" i="8"/>
  <c r="I2" i="8"/>
  <c r="H2" i="8"/>
  <c r="G2" i="8"/>
  <c r="F2" i="8"/>
  <c r="E2" i="8"/>
  <c r="D2" i="8"/>
  <c r="C2" i="8"/>
  <c r="B2" i="8"/>
  <c r="F2" i="1"/>
  <c r="G2" i="1"/>
  <c r="H2" i="1"/>
  <c r="I2" i="1"/>
  <c r="J2" i="1"/>
  <c r="K2" i="1"/>
  <c r="L2" i="1"/>
  <c r="M2" i="1"/>
  <c r="E2" i="1"/>
  <c r="D2" i="1"/>
  <c r="C2" i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C12" i="12" l="1"/>
  <c r="A16" i="12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O13" i="13"/>
  <c r="J6" i="14" a="1"/>
  <c r="J6" i="14" s="1"/>
  <c r="J3" i="14" s="1"/>
  <c r="B16" i="8"/>
  <c r="O4" i="13"/>
  <c r="F3" i="12" a="1"/>
  <c r="F3" i="12" s="1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3" i="12" l="1"/>
  <c r="C4" i="12"/>
  <c r="F3" i="13"/>
  <c r="F16" i="13" s="1"/>
  <c r="B3" i="1"/>
  <c r="B4" i="1" s="1"/>
  <c r="I3" i="13" s="1"/>
  <c r="H3" i="13" s="1"/>
  <c r="F17" i="13" l="1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s="1"/>
  <c r="K4" i="1" l="1"/>
  <c r="I12" i="13" s="1"/>
  <c r="H12" i="13" l="1"/>
  <c r="L4" i="1"/>
  <c r="I13" i="13" s="1"/>
  <c r="H13" i="13" l="1"/>
  <c r="C5" i="12"/>
  <c r="C13" i="12" s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<sst xmlns="http://schemas.openxmlformats.org/spreadsheetml/2006/main" count="99" uniqueCount="67">
  <si>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</si>
  <si>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</si>
  <si>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</si>
  <si>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</si>
  <si>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</si>
  <si>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</si>
  <si>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</si>
  <si>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</si>
  <si>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</si>
  <si>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</si>
  <si>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</si>
  <si>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</si>
  <si>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</si>
  <si>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</si>
  <si>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</si>
  <si>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</si>
  <si>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</si>
  <si>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</si>
  <si>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</si>
  <si>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</si>
  <si>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</si>
  <si>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</si>
  <si>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</si>
  <si>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</si>
  <si>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</si>
  <si>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</si>
  <si>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</si>
  <si>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</si>
  <si>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</si>
  <si>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</si>
  <si>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</si>
  <si>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</si>
  <si>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</si>
  <si>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</si>
  <si>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</si>
  <si>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</si>
  <si>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</si>
  <si>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</si>
  <si>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</si>
  <si>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</si>
  <si>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</si>
  <si>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</si>
  <si>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</si>
  <si>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</si>
  <si>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</si>
  <si>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</si>
  <si>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</si>
  <si>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</si>
  <si>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</si>
  <si>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</si>
  <si>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</si>
  <si>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</si>
  <si>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</si>
  <si>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</si>
  <si>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</si>
  <si>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</si>
  <si>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</si>
  <si>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</si>
  <si>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</si>
  <si>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</si>
  <si>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</si>
  <si>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</si>
  <si>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</si>
  <si>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</si>
  <si>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</si>
  <si>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</si>
  <si>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Ativos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</si>
</sst>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0" fontId="4" fillId="3" borderId="9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44" fontId="4" fillId="3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44" fontId="6" fillId="2" borderId="1" xfId="0" applyNumberFormat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left"/>
    </xf>
    <xf numFmtId="44" fontId="5" fillId="2" borderId="1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center"/>
    </xf>
    <xf numFmtId="9" fontId="5" fillId="2" borderId="1" xfId="2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15</xdr:col>
      <xdr:colOff>578549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5" customWidth="1"/>
    <col min="2" max="2" width="15.7109375" style="63" customWidth="1"/>
    <col min="3" max="3" width="15.7109375" style="64" customWidth="1"/>
    <col min="4" max="4" width="14.28515625" style="64" customWidth="1"/>
    <col min="5" max="6" width="15.7109375" style="65" customWidth="1"/>
    <col min="7" max="7" width="15.7109375" style="68" customWidth="1"/>
    <col min="8" max="8" width="34.28515625" style="67" customWidth="1"/>
    <col min="9" max="9" width="13.5703125" style="65" customWidth="1"/>
    <col min="10" max="10" width="10" style="65" customWidth="1"/>
    <col min="11" max="16384" width="9.140625" style="65"/>
  </cols>
  <sheetData>
    <row r="1" spans="1:8" ht="3.6" customHeight="1" x14ac:dyDescent="0.3"/>
    <row r="2" spans="1:8" ht="14.3" customHeight="1" x14ac:dyDescent="0.3">
      <c r="B2" s="45" t="s">
        <v>47</v>
      </c>
      <c r="C2" s="45" t="s">
        <v>2</v>
      </c>
      <c r="E2" s="77" t="s">
        <v>40</v>
      </c>
      <c r="F2" s="75" t="s">
        <v>25</v>
      </c>
    </row>
    <row r="3" spans="1:8" ht="14.3" customHeight="1" x14ac:dyDescent="0.3">
      <c r="B3" s="62" t="s">
        <v>1</v>
      </c>
      <c r="C3" s="26">
        <f>IF(B3="Despesas",HLOOKUP(B2,'Despesas Gerais'!B2:M20,19,FALSE),IF(B3="Receita Líquida",HLOOKUP(B2,'Receita Líquida'!B2:M16,15,FALSE),""))</f>
        <v>0</v>
      </c>
      <c r="E3" s="74" t="str" cm="1">
        <f t="array" ref="E3:E14">IF(B3="Despesas",Categorias,IF(B3="Receita Líquida",Receita_Líquida,""))</f>
        <v>Alimentação</v>
      </c>
      <c r="F3" s="75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5"/>
    </row>
    <row r="4" spans="1:8" ht="14.3" customHeight="1" x14ac:dyDescent="0.3">
      <c r="B4" s="62" t="s">
        <v>65</v>
      </c>
      <c r="C4" s="81">
        <f>HLOOKUP(B2,'Despesas Gerais'!B2:M20,19,FALSE)/HLOOKUP(B2,'Receita Líquida'!B2:M16,15,FALSE)</f>
        <v>0</v>
      </c>
      <c r="E4" s="74" t="str">
        <v>Carro</v>
      </c>
      <c r="F4" s="75">
        <v>0</v>
      </c>
      <c r="H4" s="65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74" t="str">
        <v>Condomínio</v>
      </c>
      <c r="F5" s="75">
        <v>0</v>
      </c>
      <c r="H5" s="65"/>
    </row>
    <row r="6" spans="1:8" ht="14.3" customHeight="1" x14ac:dyDescent="0.3">
      <c r="B6" s="27" t="s">
        <v>43</v>
      </c>
      <c r="C6" s="26">
        <f>'Gráfico Anual'!I15</f>
        <v>150</v>
      </c>
      <c r="E6" s="74" t="str">
        <v>Curso</v>
      </c>
      <c r="F6" s="75">
        <v>0</v>
      </c>
      <c r="H6" s="65"/>
    </row>
    <row r="7" spans="1:8" ht="14.3" customHeight="1" x14ac:dyDescent="0.3">
      <c r="E7" s="74" t="str">
        <v>Eletrônicos</v>
      </c>
      <c r="F7" s="75">
        <v>0</v>
      </c>
      <c r="H7" s="65"/>
    </row>
    <row r="8" spans="1:8" ht="14.3" customHeight="1" x14ac:dyDescent="0.3">
      <c r="B8" s="45" t="s">
        <v>66</v>
      </c>
      <c r="C8" s="45" t="s">
        <v>2</v>
      </c>
      <c r="E8" s="74" t="str">
        <v>Farm. e Saúde.</v>
      </c>
      <c r="F8" s="75">
        <v>0</v>
      </c>
      <c r="H8" s="65"/>
    </row>
    <row r="9" spans="1:8" ht="14.3" customHeight="1" x14ac:dyDescent="0.3">
      <c r="B9" s="27" t="s">
        <v>30</v>
      </c>
      <c r="C9" s="2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150</v>
      </c>
      <c r="E9" s="74" t="str">
        <v>G. Residencial</v>
      </c>
      <c r="F9" s="75">
        <v>0</v>
      </c>
      <c r="H9" s="65"/>
    </row>
    <row r="10" spans="1:8" ht="14.3" customHeight="1" x14ac:dyDescent="0.3">
      <c r="A10" s="64"/>
      <c r="B10" s="27" t="s">
        <v>31</v>
      </c>
      <c r="C10" s="2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74" t="str">
        <v>Gasolina</v>
      </c>
      <c r="F10" s="75">
        <v>0</v>
      </c>
      <c r="H10" s="65"/>
    </row>
    <row r="11" spans="1:8" ht="14.3" customHeight="1" x14ac:dyDescent="0.3">
      <c r="A11" s="64"/>
      <c r="B11" s="27" t="s">
        <v>27</v>
      </c>
      <c r="C11" s="2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0</v>
      </c>
      <c r="E11" s="74" t="str">
        <v>Jogos/ Livros</v>
      </c>
      <c r="F11" s="75">
        <v>0</v>
      </c>
      <c r="H11" s="65"/>
    </row>
    <row r="12" spans="1:8" ht="14.3" customHeight="1" x14ac:dyDescent="0.3">
      <c r="A12" s="64"/>
      <c r="B12" s="27" t="s">
        <v>44</v>
      </c>
      <c r="C12" s="2">
        <f ca="1">SUM(C9:C11)</f>
        <v>150</v>
      </c>
      <c r="E12" s="74" t="str">
        <v>Rolê/ Entret.</v>
      </c>
      <c r="F12" s="75">
        <v>0</v>
      </c>
      <c r="H12" s="65"/>
    </row>
    <row r="13" spans="1:8" ht="14.3" customHeight="1" x14ac:dyDescent="0.3">
      <c r="A13" s="64"/>
      <c r="B13" s="27" t="s">
        <v>45</v>
      </c>
      <c r="C13" s="26">
        <f ca="1">ROUND(C5-C12,2)</f>
        <v>0</v>
      </c>
      <c r="E13" s="74" t="str">
        <v>Roupas</v>
      </c>
      <c r="F13" s="75">
        <v>0</v>
      </c>
      <c r="H13" s="65"/>
    </row>
    <row r="14" spans="1:8" ht="14.3" customHeight="1" x14ac:dyDescent="0.3">
      <c r="A14" s="64"/>
      <c r="E14" s="74" t="str">
        <v>G. Gerais</v>
      </c>
      <c r="F14" s="76">
        <v>0</v>
      </c>
      <c r="H14" s="65"/>
    </row>
    <row r="15" spans="1:8" ht="3.6" customHeight="1" x14ac:dyDescent="0.3">
      <c r="A15" s="71"/>
      <c r="B15" s="65"/>
      <c r="H15" s="65"/>
    </row>
    <row r="16" spans="1:8" ht="14.3" customHeight="1" x14ac:dyDescent="0.3">
      <c r="A16" s="73">
        <f>SUBTOTAL(2,Tabela1[Data])</f>
        <v>1</v>
      </c>
      <c r="B16" s="29" t="s">
        <v>32</v>
      </c>
      <c r="C16" s="30" t="s">
        <v>0</v>
      </c>
      <c r="D16" s="30" t="s">
        <v>39</v>
      </c>
      <c r="E16" s="31" t="s">
        <v>33</v>
      </c>
      <c r="F16" s="31" t="s">
        <v>38</v>
      </c>
      <c r="G16" s="32" t="s">
        <v>25</v>
      </c>
      <c r="H16" s="31" t="s">
        <v>13</v>
      </c>
    </row>
    <row r="17" spans="2:8" ht="13.55" customHeight="1" x14ac:dyDescent="0.3">
      <c r="B17" s="33">
        <v>44927</v>
      </c>
      <c r="C17" s="34" t="str">
        <f t="shared" ref="C17:C20" si="0">IF(ISBLANK(B17),"",PROPER(TEXT(B17,"MMMM")))</f>
        <v>Janeiro</v>
      </c>
      <c r="D17" s="34" t="s">
        <v>58</v>
      </c>
      <c r="E17" s="35" t="s">
        <v>26</v>
      </c>
      <c r="F17" s="35" t="s">
        <v>30</v>
      </c>
      <c r="G17" s="36">
        <v>150</v>
      </c>
      <c r="H17" s="37"/>
    </row>
    <row r="18" spans="2:8" x14ac:dyDescent="0.3">
      <c r="B18" s="33"/>
      <c r="C18" s="34" t="str">
        <f t="shared" si="0"/>
        <v/>
      </c>
      <c r="D18" s="34"/>
      <c r="E18" s="35"/>
      <c r="F18" s="35"/>
      <c r="G18" s="36"/>
      <c r="H18" s="37"/>
    </row>
    <row r="19" spans="2:8" x14ac:dyDescent="0.3">
      <c r="B19" s="33"/>
      <c r="C19" s="34" t="str">
        <f t="shared" si="0"/>
        <v/>
      </c>
      <c r="D19" s="34"/>
      <c r="E19" s="35"/>
      <c r="F19" s="35"/>
      <c r="G19" s="36"/>
      <c r="H19" s="37"/>
    </row>
    <row r="20" spans="2:8" x14ac:dyDescent="0.3">
      <c r="B20" s="33"/>
      <c r="C20" s="34" t="str">
        <f t="shared" si="0"/>
        <v/>
      </c>
      <c r="D20" s="34"/>
      <c r="E20" s="35"/>
      <c r="F20" s="35"/>
      <c r="G20" s="36"/>
      <c r="H20" s="37"/>
    </row>
    <row r="23" spans="2:8" x14ac:dyDescent="0.3">
      <c r="G23" s="66"/>
    </row>
    <row r="25" spans="2:8" x14ac:dyDescent="0.3">
      <c r="G25" s="66"/>
    </row>
    <row r="26" spans="2:8" x14ac:dyDescent="0.3">
      <c r="G26" s="66"/>
    </row>
    <row r="27" spans="2:8" x14ac:dyDescent="0.3">
      <c r="G27" s="66"/>
    </row>
    <row r="28" spans="2:8" x14ac:dyDescent="0.3">
      <c r="G28" s="66"/>
    </row>
    <row r="38" spans="9:9" x14ac:dyDescent="0.3">
      <c r="I38" s="65" t="s">
        <v>35</v>
      </c>
    </row>
    <row r="137" spans="7:7" x14ac:dyDescent="0.3">
      <c r="G137" s="66"/>
    </row>
    <row r="139" spans="7:7" x14ac:dyDescent="0.3">
      <c r="G139" s="66"/>
    </row>
    <row r="140" spans="7:7" x14ac:dyDescent="0.3">
      <c r="G140" s="66"/>
    </row>
    <row r="141" spans="7:7" x14ac:dyDescent="0.3">
      <c r="G141" s="66"/>
    </row>
    <row r="142" spans="7:7" x14ac:dyDescent="0.3">
      <c r="G142" s="66"/>
    </row>
    <row r="248" spans="3:7" x14ac:dyDescent="0.3">
      <c r="C248" s="64" t="str">
        <f>IF(ISBLANK(B248),"",PROPER(TEXT(B248,"MMMM")))</f>
        <v/>
      </c>
    </row>
    <row r="249" spans="3:7" x14ac:dyDescent="0.3">
      <c r="C249" s="64" t="str">
        <f>IF(ISBLANK(B249),"",PROPER(TEXT(B249,"MMMM")))</f>
        <v/>
      </c>
      <c r="G249" s="69"/>
    </row>
    <row r="258" spans="3:7" x14ac:dyDescent="0.3">
      <c r="C258" s="64" t="str">
        <f>IF(ISBLANK(B258),"",PROPER(TEXT(B258,"MMMM")))</f>
        <v/>
      </c>
      <c r="D258" s="64" t="str">
        <f t="shared" ref="D258:G258" si="1">IF(ISBLANK(C258),"",PROPER(TEXT(C258,"MMMM")))</f>
        <v/>
      </c>
      <c r="E258" s="64" t="str">
        <f t="shared" si="1"/>
        <v/>
      </c>
      <c r="F258" s="64" t="str">
        <f t="shared" si="1"/>
        <v/>
      </c>
      <c r="G258" s="64" t="str">
        <f t="shared" si="1"/>
        <v/>
      </c>
    </row>
    <row r="267" spans="3:7" x14ac:dyDescent="0.3">
      <c r="C267" s="64" t="str">
        <f t="shared" ref="C267" si="2">IF(ISBLANK(B267),"",PROPER(TEXT(B267,"MMMM")))</f>
        <v/>
      </c>
    </row>
    <row r="268" spans="3:7" x14ac:dyDescent="0.3">
      <c r="C268" s="64" t="str">
        <f t="shared" ref="C268:C282" si="3">IF(ISBLANK(B268),"",PROPER(TEXT(B268,"MMMM")))</f>
        <v/>
      </c>
    </row>
    <row r="269" spans="3:7" x14ac:dyDescent="0.3">
      <c r="C269" s="64" t="str">
        <f t="shared" ref="C269:C279" si="4">IF(ISBLANK(B269),"",PROPER(TEXT(B269,"MMMM")))</f>
        <v/>
      </c>
    </row>
    <row r="270" spans="3:7" x14ac:dyDescent="0.3">
      <c r="C270" s="64" t="str">
        <f t="shared" si="4"/>
        <v/>
      </c>
    </row>
    <row r="271" spans="3:7" x14ac:dyDescent="0.3">
      <c r="C271" s="64" t="str">
        <f t="shared" si="4"/>
        <v/>
      </c>
    </row>
    <row r="272" spans="3:7" x14ac:dyDescent="0.3">
      <c r="C272" s="64" t="str">
        <f t="shared" si="4"/>
        <v/>
      </c>
    </row>
    <row r="273" spans="2:8" x14ac:dyDescent="0.3">
      <c r="C273" s="64" t="str">
        <f t="shared" si="4"/>
        <v/>
      </c>
    </row>
    <row r="274" spans="2:8" x14ac:dyDescent="0.3">
      <c r="C274" s="64" t="str">
        <f t="shared" si="4"/>
        <v/>
      </c>
    </row>
    <row r="275" spans="2:8" x14ac:dyDescent="0.3">
      <c r="C275" s="64" t="str">
        <f t="shared" si="4"/>
        <v/>
      </c>
    </row>
    <row r="276" spans="2:8" x14ac:dyDescent="0.3">
      <c r="C276" s="64" t="str">
        <f t="shared" si="4"/>
        <v/>
      </c>
    </row>
    <row r="277" spans="2:8" x14ac:dyDescent="0.3">
      <c r="C277" s="64" t="str">
        <f t="shared" si="4"/>
        <v/>
      </c>
    </row>
    <row r="278" spans="2:8" x14ac:dyDescent="0.3">
      <c r="C278" s="64" t="str">
        <f t="shared" si="4"/>
        <v/>
      </c>
    </row>
    <row r="279" spans="2:8" x14ac:dyDescent="0.3">
      <c r="C279" s="64" t="str">
        <f t="shared" si="4"/>
        <v/>
      </c>
    </row>
    <row r="280" spans="2:8" x14ac:dyDescent="0.3">
      <c r="C280" s="64" t="str">
        <f t="shared" si="3"/>
        <v/>
      </c>
    </row>
    <row r="281" spans="2:8" x14ac:dyDescent="0.3">
      <c r="C281" s="64" t="str">
        <f t="shared" si="3"/>
        <v/>
      </c>
    </row>
    <row r="282" spans="2:8" x14ac:dyDescent="0.3">
      <c r="C282" s="64" t="str">
        <f t="shared" si="3"/>
        <v/>
      </c>
      <c r="G282" s="66"/>
      <c r="H282" s="70"/>
    </row>
    <row r="283" spans="2:8" x14ac:dyDescent="0.3">
      <c r="B283" s="65"/>
      <c r="C283" s="65"/>
      <c r="D283" s="65"/>
      <c r="E283" s="71"/>
      <c r="F283" s="71"/>
      <c r="G283" s="66"/>
      <c r="H283" s="70"/>
    </row>
    <row r="284" spans="2:8" x14ac:dyDescent="0.3">
      <c r="B284" s="65"/>
      <c r="C284" s="65"/>
      <c r="D284" s="65"/>
      <c r="E284" s="71"/>
      <c r="F284" s="71"/>
      <c r="G284" s="66"/>
      <c r="H284" s="70"/>
    </row>
    <row r="285" spans="2:8" x14ac:dyDescent="0.3">
      <c r="B285" s="65"/>
      <c r="C285" s="65"/>
      <c r="D285" s="65"/>
      <c r="E285" s="71"/>
      <c r="F285" s="71"/>
      <c r="G285" s="66"/>
      <c r="H285" s="70"/>
    </row>
    <row r="286" spans="2:8" x14ac:dyDescent="0.3">
      <c r="B286" s="65"/>
      <c r="C286" s="72"/>
      <c r="D286" s="72"/>
      <c r="E286" s="71"/>
      <c r="F286" s="71"/>
      <c r="G286" s="66"/>
      <c r="H286" s="70"/>
    </row>
    <row r="287" spans="2:8" x14ac:dyDescent="0.3">
      <c r="B287" s="65"/>
      <c r="C287" s="65"/>
      <c r="D287" s="65"/>
      <c r="G287" s="65"/>
    </row>
    <row r="288" spans="2:8" x14ac:dyDescent="0.3">
      <c r="B288" s="65"/>
      <c r="C288" s="65"/>
      <c r="D288" s="65"/>
      <c r="G288" s="65"/>
    </row>
    <row r="289" spans="2:7" x14ac:dyDescent="0.3">
      <c r="B289" s="65"/>
      <c r="C289" s="65"/>
      <c r="D289" s="65"/>
      <c r="G289" s="65"/>
    </row>
    <row r="290" spans="2:7" x14ac:dyDescent="0.3">
      <c r="B290" s="65"/>
      <c r="C290" s="65"/>
      <c r="D290" s="65"/>
      <c r="G290" s="65"/>
    </row>
    <row r="291" spans="2:7" x14ac:dyDescent="0.3">
      <c r="B291" s="65"/>
      <c r="C291" s="65"/>
      <c r="D291" s="65"/>
      <c r="G291" s="65"/>
    </row>
    <row r="292" spans="2:7" x14ac:dyDescent="0.3">
      <c r="B292" s="65"/>
      <c r="C292" s="65"/>
      <c r="D292" s="65"/>
      <c r="G292" s="65"/>
    </row>
    <row r="293" spans="2:7" x14ac:dyDescent="0.3">
      <c r="B293" s="65"/>
      <c r="C293" s="65"/>
      <c r="D293" s="65"/>
      <c r="G293" s="65"/>
    </row>
    <row r="294" spans="2:7" x14ac:dyDescent="0.3">
      <c r="C294" s="64" t="str">
        <f t="shared" ref="C294:C352" si="5">IF(ISBLANK(B294),"",PROPER(TEXT(B294,"MMMM")))</f>
        <v/>
      </c>
    </row>
    <row r="295" spans="2:7" x14ac:dyDescent="0.3">
      <c r="C295" s="64" t="str">
        <f t="shared" si="5"/>
        <v/>
      </c>
    </row>
    <row r="296" spans="2:7" x14ac:dyDescent="0.3">
      <c r="C296" s="64" t="str">
        <f t="shared" si="5"/>
        <v/>
      </c>
    </row>
    <row r="297" spans="2:7" x14ac:dyDescent="0.3">
      <c r="C297" s="64" t="str">
        <f t="shared" si="5"/>
        <v/>
      </c>
    </row>
    <row r="298" spans="2:7" x14ac:dyDescent="0.3">
      <c r="C298" s="64" t="str">
        <f t="shared" si="5"/>
        <v/>
      </c>
    </row>
    <row r="299" spans="2:7" x14ac:dyDescent="0.3">
      <c r="C299" s="64" t="str">
        <f t="shared" si="5"/>
        <v/>
      </c>
    </row>
    <row r="300" spans="2:7" x14ac:dyDescent="0.3">
      <c r="C300" s="64" t="str">
        <f t="shared" si="5"/>
        <v/>
      </c>
    </row>
    <row r="301" spans="2:7" x14ac:dyDescent="0.3">
      <c r="C301" s="64" t="str">
        <f t="shared" si="5"/>
        <v/>
      </c>
    </row>
    <row r="302" spans="2:7" x14ac:dyDescent="0.3">
      <c r="C302" s="64" t="str">
        <f t="shared" si="5"/>
        <v/>
      </c>
    </row>
    <row r="303" spans="2:7" x14ac:dyDescent="0.3">
      <c r="C303" s="64" t="str">
        <f t="shared" si="5"/>
        <v/>
      </c>
    </row>
    <row r="304" spans="2:7" x14ac:dyDescent="0.3">
      <c r="C304" s="64" t="str">
        <f t="shared" si="5"/>
        <v/>
      </c>
    </row>
    <row r="305" spans="3:3" x14ac:dyDescent="0.3">
      <c r="C305" s="64" t="str">
        <f t="shared" si="5"/>
        <v/>
      </c>
    </row>
    <row r="306" spans="3:3" x14ac:dyDescent="0.3">
      <c r="C306" s="64" t="str">
        <f t="shared" si="5"/>
        <v/>
      </c>
    </row>
    <row r="307" spans="3:3" x14ac:dyDescent="0.3">
      <c r="C307" s="64" t="str">
        <f t="shared" si="5"/>
        <v/>
      </c>
    </row>
    <row r="308" spans="3:3" x14ac:dyDescent="0.3">
      <c r="C308" s="64" t="str">
        <f t="shared" si="5"/>
        <v/>
      </c>
    </row>
    <row r="309" spans="3:3" x14ac:dyDescent="0.3">
      <c r="C309" s="64" t="str">
        <f t="shared" si="5"/>
        <v/>
      </c>
    </row>
    <row r="310" spans="3:3" x14ac:dyDescent="0.3">
      <c r="C310" s="64" t="str">
        <f t="shared" si="5"/>
        <v/>
      </c>
    </row>
    <row r="311" spans="3:3" x14ac:dyDescent="0.3">
      <c r="C311" s="64" t="str">
        <f t="shared" si="5"/>
        <v/>
      </c>
    </row>
    <row r="312" spans="3:3" x14ac:dyDescent="0.3">
      <c r="C312" s="64" t="str">
        <f t="shared" si="5"/>
        <v/>
      </c>
    </row>
    <row r="313" spans="3:3" x14ac:dyDescent="0.3">
      <c r="C313" s="64" t="str">
        <f t="shared" si="5"/>
        <v/>
      </c>
    </row>
    <row r="314" spans="3:3" x14ac:dyDescent="0.3">
      <c r="C314" s="64" t="str">
        <f t="shared" si="5"/>
        <v/>
      </c>
    </row>
    <row r="315" spans="3:3" x14ac:dyDescent="0.3">
      <c r="C315" s="64" t="str">
        <f t="shared" si="5"/>
        <v/>
      </c>
    </row>
    <row r="316" spans="3:3" x14ac:dyDescent="0.3">
      <c r="C316" s="64" t="str">
        <f t="shared" si="5"/>
        <v/>
      </c>
    </row>
    <row r="317" spans="3:3" x14ac:dyDescent="0.3">
      <c r="C317" s="64" t="str">
        <f t="shared" si="5"/>
        <v/>
      </c>
    </row>
    <row r="318" spans="3:3" x14ac:dyDescent="0.3">
      <c r="C318" s="64" t="str">
        <f t="shared" si="5"/>
        <v/>
      </c>
    </row>
    <row r="319" spans="3:3" x14ac:dyDescent="0.3">
      <c r="C319" s="64" t="str">
        <f t="shared" si="5"/>
        <v/>
      </c>
    </row>
    <row r="320" spans="3:3" x14ac:dyDescent="0.3">
      <c r="C320" s="64" t="str">
        <f t="shared" si="5"/>
        <v/>
      </c>
    </row>
    <row r="321" spans="3:3" x14ac:dyDescent="0.3">
      <c r="C321" s="64" t="str">
        <f t="shared" si="5"/>
        <v/>
      </c>
    </row>
    <row r="322" spans="3:3" x14ac:dyDescent="0.3">
      <c r="C322" s="64" t="str">
        <f t="shared" si="5"/>
        <v/>
      </c>
    </row>
    <row r="323" spans="3:3" x14ac:dyDescent="0.3">
      <c r="C323" s="64" t="str">
        <f t="shared" si="5"/>
        <v/>
      </c>
    </row>
    <row r="324" spans="3:3" x14ac:dyDescent="0.3">
      <c r="C324" s="64" t="str">
        <f t="shared" si="5"/>
        <v/>
      </c>
    </row>
    <row r="325" spans="3:3" x14ac:dyDescent="0.3">
      <c r="C325" s="64" t="str">
        <f t="shared" si="5"/>
        <v/>
      </c>
    </row>
    <row r="326" spans="3:3" x14ac:dyDescent="0.3">
      <c r="C326" s="64" t="str">
        <f t="shared" si="5"/>
        <v/>
      </c>
    </row>
    <row r="327" spans="3:3" x14ac:dyDescent="0.3">
      <c r="C327" s="64" t="str">
        <f t="shared" si="5"/>
        <v/>
      </c>
    </row>
    <row r="328" spans="3:3" x14ac:dyDescent="0.3">
      <c r="C328" s="64" t="str">
        <f t="shared" si="5"/>
        <v/>
      </c>
    </row>
    <row r="329" spans="3:3" x14ac:dyDescent="0.3">
      <c r="C329" s="64" t="str">
        <f t="shared" si="5"/>
        <v/>
      </c>
    </row>
    <row r="330" spans="3:3" x14ac:dyDescent="0.3">
      <c r="C330" s="64" t="str">
        <f t="shared" si="5"/>
        <v/>
      </c>
    </row>
    <row r="331" spans="3:3" x14ac:dyDescent="0.3">
      <c r="C331" s="64" t="str">
        <f t="shared" si="5"/>
        <v/>
      </c>
    </row>
    <row r="332" spans="3:3" x14ac:dyDescent="0.3">
      <c r="C332" s="64" t="str">
        <f t="shared" si="5"/>
        <v/>
      </c>
    </row>
    <row r="333" spans="3:3" x14ac:dyDescent="0.3">
      <c r="C333" s="64" t="str">
        <f t="shared" si="5"/>
        <v/>
      </c>
    </row>
    <row r="334" spans="3:3" x14ac:dyDescent="0.3">
      <c r="C334" s="64" t="str">
        <f t="shared" si="5"/>
        <v/>
      </c>
    </row>
    <row r="335" spans="3:3" x14ac:dyDescent="0.3">
      <c r="C335" s="64" t="str">
        <f t="shared" si="5"/>
        <v/>
      </c>
    </row>
    <row r="336" spans="3:3" x14ac:dyDescent="0.3">
      <c r="C336" s="64" t="str">
        <f t="shared" si="5"/>
        <v/>
      </c>
    </row>
    <row r="337" spans="3:3" x14ac:dyDescent="0.3">
      <c r="C337" s="64" t="str">
        <f t="shared" si="5"/>
        <v/>
      </c>
    </row>
    <row r="338" spans="3:3" x14ac:dyDescent="0.3">
      <c r="C338" s="64" t="str">
        <f t="shared" si="5"/>
        <v/>
      </c>
    </row>
    <row r="339" spans="3:3" x14ac:dyDescent="0.3">
      <c r="C339" s="64" t="str">
        <f t="shared" si="5"/>
        <v/>
      </c>
    </row>
    <row r="340" spans="3:3" x14ac:dyDescent="0.3">
      <c r="C340" s="64" t="str">
        <f t="shared" si="5"/>
        <v/>
      </c>
    </row>
    <row r="341" spans="3:3" x14ac:dyDescent="0.3">
      <c r="C341" s="64" t="str">
        <f t="shared" si="5"/>
        <v/>
      </c>
    </row>
    <row r="342" spans="3:3" x14ac:dyDescent="0.3">
      <c r="C342" s="64" t="str">
        <f t="shared" si="5"/>
        <v/>
      </c>
    </row>
    <row r="343" spans="3:3" x14ac:dyDescent="0.3">
      <c r="C343" s="64" t="str">
        <f t="shared" si="5"/>
        <v/>
      </c>
    </row>
    <row r="344" spans="3:3" x14ac:dyDescent="0.3">
      <c r="C344" s="64" t="str">
        <f t="shared" si="5"/>
        <v/>
      </c>
    </row>
    <row r="345" spans="3:3" x14ac:dyDescent="0.3">
      <c r="C345" s="64" t="str">
        <f t="shared" si="5"/>
        <v/>
      </c>
    </row>
    <row r="346" spans="3:3" x14ac:dyDescent="0.3">
      <c r="C346" s="64" t="str">
        <f t="shared" si="5"/>
        <v/>
      </c>
    </row>
    <row r="347" spans="3:3" x14ac:dyDescent="0.3">
      <c r="C347" s="64" t="str">
        <f t="shared" si="5"/>
        <v/>
      </c>
    </row>
    <row r="348" spans="3:3" x14ac:dyDescent="0.3">
      <c r="C348" s="64" t="str">
        <f t="shared" si="5"/>
        <v/>
      </c>
    </row>
    <row r="349" spans="3:3" x14ac:dyDescent="0.3">
      <c r="C349" s="64" t="str">
        <f t="shared" si="5"/>
        <v/>
      </c>
    </row>
    <row r="350" spans="3:3" x14ac:dyDescent="0.3">
      <c r="C350" s="64" t="str">
        <f t="shared" si="5"/>
        <v/>
      </c>
    </row>
    <row r="351" spans="3:3" x14ac:dyDescent="0.3">
      <c r="C351" s="64" t="str">
        <f t="shared" si="5"/>
        <v/>
      </c>
    </row>
    <row r="352" spans="3:3" x14ac:dyDescent="0.3">
      <c r="C352" s="64" t="str">
        <f t="shared" si="5"/>
        <v/>
      </c>
    </row>
    <row r="353" spans="3:3" x14ac:dyDescent="0.3">
      <c r="C353" s="64" t="str">
        <f t="shared" ref="C353:C416" si="6">IF(ISBLANK(B353),"",PROPER(TEXT(B353,"MMMM")))</f>
        <v/>
      </c>
    </row>
    <row r="354" spans="3:3" x14ac:dyDescent="0.3">
      <c r="C354" s="64" t="str">
        <f t="shared" si="6"/>
        <v/>
      </c>
    </row>
    <row r="355" spans="3:3" x14ac:dyDescent="0.3">
      <c r="C355" s="64" t="str">
        <f t="shared" si="6"/>
        <v/>
      </c>
    </row>
    <row r="356" spans="3:3" x14ac:dyDescent="0.3">
      <c r="C356" s="64" t="str">
        <f t="shared" si="6"/>
        <v/>
      </c>
    </row>
    <row r="357" spans="3:3" x14ac:dyDescent="0.3">
      <c r="C357" s="64" t="str">
        <f t="shared" si="6"/>
        <v/>
      </c>
    </row>
    <row r="358" spans="3:3" x14ac:dyDescent="0.3">
      <c r="C358" s="64" t="str">
        <f t="shared" si="6"/>
        <v/>
      </c>
    </row>
    <row r="359" spans="3:3" x14ac:dyDescent="0.3">
      <c r="C359" s="64" t="str">
        <f t="shared" si="6"/>
        <v/>
      </c>
    </row>
    <row r="360" spans="3:3" x14ac:dyDescent="0.3">
      <c r="C360" s="64" t="str">
        <f t="shared" si="6"/>
        <v/>
      </c>
    </row>
    <row r="361" spans="3:3" x14ac:dyDescent="0.3">
      <c r="C361" s="64" t="str">
        <f t="shared" si="6"/>
        <v/>
      </c>
    </row>
    <row r="362" spans="3:3" x14ac:dyDescent="0.3">
      <c r="C362" s="64" t="str">
        <f t="shared" si="6"/>
        <v/>
      </c>
    </row>
    <row r="363" spans="3:3" x14ac:dyDescent="0.3">
      <c r="C363" s="64" t="str">
        <f t="shared" si="6"/>
        <v/>
      </c>
    </row>
    <row r="364" spans="3:3" x14ac:dyDescent="0.3">
      <c r="C364" s="64" t="str">
        <f t="shared" si="6"/>
        <v/>
      </c>
    </row>
    <row r="365" spans="3:3" x14ac:dyDescent="0.3">
      <c r="C365" s="64" t="str">
        <f t="shared" si="6"/>
        <v/>
      </c>
    </row>
    <row r="366" spans="3:3" x14ac:dyDescent="0.3">
      <c r="C366" s="64" t="str">
        <f t="shared" si="6"/>
        <v/>
      </c>
    </row>
    <row r="367" spans="3:3" x14ac:dyDescent="0.3">
      <c r="C367" s="64" t="str">
        <f t="shared" si="6"/>
        <v/>
      </c>
    </row>
    <row r="368" spans="3:3" x14ac:dyDescent="0.3">
      <c r="C368" s="64" t="str">
        <f t="shared" si="6"/>
        <v/>
      </c>
    </row>
    <row r="369" spans="3:3" x14ac:dyDescent="0.3">
      <c r="C369" s="64" t="str">
        <f t="shared" si="6"/>
        <v/>
      </c>
    </row>
    <row r="370" spans="3:3" x14ac:dyDescent="0.3">
      <c r="C370" s="64" t="str">
        <f t="shared" si="6"/>
        <v/>
      </c>
    </row>
    <row r="371" spans="3:3" x14ac:dyDescent="0.3">
      <c r="C371" s="64" t="str">
        <f t="shared" si="6"/>
        <v/>
      </c>
    </row>
    <row r="372" spans="3:3" x14ac:dyDescent="0.3">
      <c r="C372" s="64" t="str">
        <f t="shared" si="6"/>
        <v/>
      </c>
    </row>
    <row r="373" spans="3:3" x14ac:dyDescent="0.3">
      <c r="C373" s="64" t="str">
        <f t="shared" si="6"/>
        <v/>
      </c>
    </row>
    <row r="374" spans="3:3" x14ac:dyDescent="0.3">
      <c r="C374" s="64" t="str">
        <f t="shared" si="6"/>
        <v/>
      </c>
    </row>
    <row r="375" spans="3:3" x14ac:dyDescent="0.3">
      <c r="C375" s="64" t="str">
        <f t="shared" si="6"/>
        <v/>
      </c>
    </row>
    <row r="376" spans="3:3" x14ac:dyDescent="0.3">
      <c r="C376" s="64" t="str">
        <f t="shared" si="6"/>
        <v/>
      </c>
    </row>
    <row r="377" spans="3:3" x14ac:dyDescent="0.3">
      <c r="C377" s="64" t="str">
        <f t="shared" si="6"/>
        <v/>
      </c>
    </row>
    <row r="378" spans="3:3" x14ac:dyDescent="0.3">
      <c r="C378" s="64" t="str">
        <f t="shared" si="6"/>
        <v/>
      </c>
    </row>
    <row r="379" spans="3:3" x14ac:dyDescent="0.3">
      <c r="C379" s="64" t="str">
        <f t="shared" si="6"/>
        <v/>
      </c>
    </row>
    <row r="380" spans="3:3" x14ac:dyDescent="0.3">
      <c r="C380" s="64" t="str">
        <f t="shared" si="6"/>
        <v/>
      </c>
    </row>
    <row r="381" spans="3:3" x14ac:dyDescent="0.3">
      <c r="C381" s="64" t="str">
        <f t="shared" si="6"/>
        <v/>
      </c>
    </row>
    <row r="382" spans="3:3" x14ac:dyDescent="0.3">
      <c r="C382" s="64" t="str">
        <f t="shared" si="6"/>
        <v/>
      </c>
    </row>
    <row r="383" spans="3:3" x14ac:dyDescent="0.3">
      <c r="C383" s="64" t="str">
        <f t="shared" si="6"/>
        <v/>
      </c>
    </row>
    <row r="384" spans="3:3" x14ac:dyDescent="0.3">
      <c r="C384" s="64" t="str">
        <f t="shared" si="6"/>
        <v/>
      </c>
    </row>
    <row r="385" spans="3:3" x14ac:dyDescent="0.3">
      <c r="C385" s="64" t="str">
        <f t="shared" si="6"/>
        <v/>
      </c>
    </row>
    <row r="386" spans="3:3" x14ac:dyDescent="0.3">
      <c r="C386" s="64" t="str">
        <f t="shared" si="6"/>
        <v/>
      </c>
    </row>
    <row r="387" spans="3:3" x14ac:dyDescent="0.3">
      <c r="C387" s="64" t="str">
        <f t="shared" si="6"/>
        <v/>
      </c>
    </row>
    <row r="388" spans="3:3" x14ac:dyDescent="0.3">
      <c r="C388" s="64" t="str">
        <f t="shared" si="6"/>
        <v/>
      </c>
    </row>
    <row r="389" spans="3:3" x14ac:dyDescent="0.3">
      <c r="C389" s="64" t="str">
        <f t="shared" si="6"/>
        <v/>
      </c>
    </row>
    <row r="390" spans="3:3" x14ac:dyDescent="0.3">
      <c r="C390" s="64" t="str">
        <f t="shared" si="6"/>
        <v/>
      </c>
    </row>
    <row r="391" spans="3:3" x14ac:dyDescent="0.3">
      <c r="C391" s="64" t="str">
        <f t="shared" si="6"/>
        <v/>
      </c>
    </row>
    <row r="392" spans="3:3" x14ac:dyDescent="0.3">
      <c r="C392" s="64" t="str">
        <f t="shared" si="6"/>
        <v/>
      </c>
    </row>
    <row r="393" spans="3:3" x14ac:dyDescent="0.3">
      <c r="C393" s="64" t="str">
        <f t="shared" si="6"/>
        <v/>
      </c>
    </row>
    <row r="394" spans="3:3" x14ac:dyDescent="0.3">
      <c r="C394" s="64" t="str">
        <f t="shared" si="6"/>
        <v/>
      </c>
    </row>
    <row r="395" spans="3:3" x14ac:dyDescent="0.3">
      <c r="C395" s="64" t="str">
        <f t="shared" si="6"/>
        <v/>
      </c>
    </row>
    <row r="396" spans="3:3" x14ac:dyDescent="0.3">
      <c r="C396" s="64" t="str">
        <f t="shared" si="6"/>
        <v/>
      </c>
    </row>
    <row r="397" spans="3:3" x14ac:dyDescent="0.3">
      <c r="C397" s="64" t="str">
        <f t="shared" si="6"/>
        <v/>
      </c>
    </row>
    <row r="398" spans="3:3" x14ac:dyDescent="0.3">
      <c r="C398" s="64" t="str">
        <f t="shared" si="6"/>
        <v/>
      </c>
    </row>
    <row r="399" spans="3:3" x14ac:dyDescent="0.3">
      <c r="C399" s="64" t="str">
        <f t="shared" si="6"/>
        <v/>
      </c>
    </row>
    <row r="400" spans="3:3" x14ac:dyDescent="0.3">
      <c r="C400" s="64" t="str">
        <f t="shared" si="6"/>
        <v/>
      </c>
    </row>
    <row r="401" spans="3:3" x14ac:dyDescent="0.3">
      <c r="C401" s="64" t="str">
        <f t="shared" si="6"/>
        <v/>
      </c>
    </row>
    <row r="402" spans="3:3" x14ac:dyDescent="0.3">
      <c r="C402" s="64" t="str">
        <f t="shared" si="6"/>
        <v/>
      </c>
    </row>
    <row r="403" spans="3:3" x14ac:dyDescent="0.3">
      <c r="C403" s="64" t="str">
        <f t="shared" si="6"/>
        <v/>
      </c>
    </row>
    <row r="404" spans="3:3" x14ac:dyDescent="0.3">
      <c r="C404" s="64" t="str">
        <f t="shared" si="6"/>
        <v/>
      </c>
    </row>
    <row r="405" spans="3:3" x14ac:dyDescent="0.3">
      <c r="C405" s="64" t="str">
        <f t="shared" si="6"/>
        <v/>
      </c>
    </row>
    <row r="406" spans="3:3" x14ac:dyDescent="0.3">
      <c r="C406" s="64" t="str">
        <f t="shared" si="6"/>
        <v/>
      </c>
    </row>
    <row r="407" spans="3:3" x14ac:dyDescent="0.3">
      <c r="C407" s="64" t="str">
        <f t="shared" si="6"/>
        <v/>
      </c>
    </row>
    <row r="408" spans="3:3" x14ac:dyDescent="0.3">
      <c r="C408" s="64" t="str">
        <f t="shared" si="6"/>
        <v/>
      </c>
    </row>
    <row r="409" spans="3:3" x14ac:dyDescent="0.3">
      <c r="C409" s="64" t="str">
        <f t="shared" si="6"/>
        <v/>
      </c>
    </row>
    <row r="410" spans="3:3" x14ac:dyDescent="0.3">
      <c r="C410" s="64" t="str">
        <f t="shared" si="6"/>
        <v/>
      </c>
    </row>
    <row r="411" spans="3:3" x14ac:dyDescent="0.3">
      <c r="C411" s="64" t="str">
        <f t="shared" si="6"/>
        <v/>
      </c>
    </row>
    <row r="412" spans="3:3" x14ac:dyDescent="0.3">
      <c r="C412" s="64" t="str">
        <f t="shared" si="6"/>
        <v/>
      </c>
    </row>
    <row r="413" spans="3:3" x14ac:dyDescent="0.3">
      <c r="C413" s="64" t="str">
        <f t="shared" si="6"/>
        <v/>
      </c>
    </row>
    <row r="414" spans="3:3" x14ac:dyDescent="0.3">
      <c r="C414" s="64" t="str">
        <f t="shared" si="6"/>
        <v/>
      </c>
    </row>
    <row r="415" spans="3:3" x14ac:dyDescent="0.3">
      <c r="C415" s="64" t="str">
        <f t="shared" si="6"/>
        <v/>
      </c>
    </row>
    <row r="416" spans="3:3" x14ac:dyDescent="0.3">
      <c r="C416" s="64" t="str">
        <f t="shared" si="6"/>
        <v/>
      </c>
    </row>
    <row r="417" spans="3:3" x14ac:dyDescent="0.3">
      <c r="C417" s="64" t="str">
        <f t="shared" ref="C417:C480" si="7">IF(ISBLANK(B417),"",PROPER(TEXT(B417,"MMMM")))</f>
        <v/>
      </c>
    </row>
    <row r="418" spans="3:3" x14ac:dyDescent="0.3">
      <c r="C418" s="64" t="str">
        <f t="shared" si="7"/>
        <v/>
      </c>
    </row>
    <row r="419" spans="3:3" x14ac:dyDescent="0.3">
      <c r="C419" s="64" t="str">
        <f t="shared" si="7"/>
        <v/>
      </c>
    </row>
    <row r="420" spans="3:3" x14ac:dyDescent="0.3">
      <c r="C420" s="64" t="str">
        <f t="shared" si="7"/>
        <v/>
      </c>
    </row>
    <row r="421" spans="3:3" x14ac:dyDescent="0.3">
      <c r="C421" s="64" t="str">
        <f t="shared" si="7"/>
        <v/>
      </c>
    </row>
    <row r="422" spans="3:3" x14ac:dyDescent="0.3">
      <c r="C422" s="64" t="str">
        <f t="shared" si="7"/>
        <v/>
      </c>
    </row>
    <row r="423" spans="3:3" x14ac:dyDescent="0.3">
      <c r="C423" s="64" t="str">
        <f t="shared" si="7"/>
        <v/>
      </c>
    </row>
    <row r="424" spans="3:3" x14ac:dyDescent="0.3">
      <c r="C424" s="64" t="str">
        <f t="shared" si="7"/>
        <v/>
      </c>
    </row>
    <row r="425" spans="3:3" x14ac:dyDescent="0.3">
      <c r="C425" s="64" t="str">
        <f t="shared" si="7"/>
        <v/>
      </c>
    </row>
    <row r="426" spans="3:3" x14ac:dyDescent="0.3">
      <c r="C426" s="64" t="str">
        <f t="shared" si="7"/>
        <v/>
      </c>
    </row>
    <row r="427" spans="3:3" x14ac:dyDescent="0.3">
      <c r="C427" s="64" t="str">
        <f t="shared" si="7"/>
        <v/>
      </c>
    </row>
    <row r="428" spans="3:3" x14ac:dyDescent="0.3">
      <c r="C428" s="64" t="str">
        <f t="shared" si="7"/>
        <v/>
      </c>
    </row>
    <row r="429" spans="3:3" x14ac:dyDescent="0.3">
      <c r="C429" s="64" t="str">
        <f t="shared" si="7"/>
        <v/>
      </c>
    </row>
    <row r="430" spans="3:3" x14ac:dyDescent="0.3">
      <c r="C430" s="64" t="str">
        <f t="shared" si="7"/>
        <v/>
      </c>
    </row>
    <row r="431" spans="3:3" x14ac:dyDescent="0.3">
      <c r="C431" s="64" t="str">
        <f t="shared" si="7"/>
        <v/>
      </c>
    </row>
    <row r="432" spans="3:3" x14ac:dyDescent="0.3">
      <c r="C432" s="64" t="str">
        <f t="shared" si="7"/>
        <v/>
      </c>
    </row>
    <row r="433" spans="3:3" x14ac:dyDescent="0.3">
      <c r="C433" s="64" t="str">
        <f t="shared" si="7"/>
        <v/>
      </c>
    </row>
    <row r="434" spans="3:3" x14ac:dyDescent="0.3">
      <c r="C434" s="64" t="str">
        <f t="shared" si="7"/>
        <v/>
      </c>
    </row>
    <row r="435" spans="3:3" x14ac:dyDescent="0.3">
      <c r="C435" s="64" t="str">
        <f t="shared" si="7"/>
        <v/>
      </c>
    </row>
    <row r="436" spans="3:3" x14ac:dyDescent="0.3">
      <c r="C436" s="64" t="str">
        <f t="shared" si="7"/>
        <v/>
      </c>
    </row>
    <row r="437" spans="3:3" x14ac:dyDescent="0.3">
      <c r="C437" s="64" t="str">
        <f t="shared" si="7"/>
        <v/>
      </c>
    </row>
    <row r="438" spans="3:3" x14ac:dyDescent="0.3">
      <c r="C438" s="64" t="str">
        <f t="shared" si="7"/>
        <v/>
      </c>
    </row>
    <row r="439" spans="3:3" x14ac:dyDescent="0.3">
      <c r="C439" s="64" t="str">
        <f t="shared" si="7"/>
        <v/>
      </c>
    </row>
    <row r="440" spans="3:3" x14ac:dyDescent="0.3">
      <c r="C440" s="64" t="str">
        <f t="shared" si="7"/>
        <v/>
      </c>
    </row>
    <row r="441" spans="3:3" x14ac:dyDescent="0.3">
      <c r="C441" s="64" t="str">
        <f t="shared" si="7"/>
        <v/>
      </c>
    </row>
    <row r="442" spans="3:3" x14ac:dyDescent="0.3">
      <c r="C442" s="64" t="str">
        <f t="shared" si="7"/>
        <v/>
      </c>
    </row>
    <row r="443" spans="3:3" x14ac:dyDescent="0.3">
      <c r="C443" s="64" t="str">
        <f t="shared" si="7"/>
        <v/>
      </c>
    </row>
    <row r="444" spans="3:3" x14ac:dyDescent="0.3">
      <c r="C444" s="64" t="str">
        <f t="shared" si="7"/>
        <v/>
      </c>
    </row>
    <row r="445" spans="3:3" x14ac:dyDescent="0.3">
      <c r="C445" s="64" t="str">
        <f t="shared" si="7"/>
        <v/>
      </c>
    </row>
    <row r="446" spans="3:3" x14ac:dyDescent="0.3">
      <c r="C446" s="64" t="str">
        <f t="shared" si="7"/>
        <v/>
      </c>
    </row>
    <row r="447" spans="3:3" x14ac:dyDescent="0.3">
      <c r="C447" s="64" t="str">
        <f t="shared" si="7"/>
        <v/>
      </c>
    </row>
    <row r="448" spans="3:3" x14ac:dyDescent="0.3">
      <c r="C448" s="64" t="str">
        <f t="shared" si="7"/>
        <v/>
      </c>
    </row>
    <row r="449" spans="3:3" x14ac:dyDescent="0.3">
      <c r="C449" s="64" t="str">
        <f t="shared" si="7"/>
        <v/>
      </c>
    </row>
    <row r="450" spans="3:3" x14ac:dyDescent="0.3">
      <c r="C450" s="64" t="str">
        <f t="shared" si="7"/>
        <v/>
      </c>
    </row>
    <row r="451" spans="3:3" x14ac:dyDescent="0.3">
      <c r="C451" s="64" t="str">
        <f t="shared" si="7"/>
        <v/>
      </c>
    </row>
    <row r="452" spans="3:3" x14ac:dyDescent="0.3">
      <c r="C452" s="64" t="str">
        <f t="shared" si="7"/>
        <v/>
      </c>
    </row>
    <row r="453" spans="3:3" x14ac:dyDescent="0.3">
      <c r="C453" s="64" t="str">
        <f t="shared" si="7"/>
        <v/>
      </c>
    </row>
    <row r="454" spans="3:3" x14ac:dyDescent="0.3">
      <c r="C454" s="64" t="str">
        <f t="shared" si="7"/>
        <v/>
      </c>
    </row>
    <row r="455" spans="3:3" x14ac:dyDescent="0.3">
      <c r="C455" s="64" t="str">
        <f t="shared" si="7"/>
        <v/>
      </c>
    </row>
    <row r="456" spans="3:3" x14ac:dyDescent="0.3">
      <c r="C456" s="64" t="str">
        <f t="shared" si="7"/>
        <v/>
      </c>
    </row>
    <row r="457" spans="3:3" x14ac:dyDescent="0.3">
      <c r="C457" s="64" t="str">
        <f t="shared" si="7"/>
        <v/>
      </c>
    </row>
    <row r="458" spans="3:3" x14ac:dyDescent="0.3">
      <c r="C458" s="64" t="str">
        <f t="shared" si="7"/>
        <v/>
      </c>
    </row>
    <row r="459" spans="3:3" x14ac:dyDescent="0.3">
      <c r="C459" s="64" t="str">
        <f t="shared" si="7"/>
        <v/>
      </c>
    </row>
    <row r="460" spans="3:3" x14ac:dyDescent="0.3">
      <c r="C460" s="64" t="str">
        <f t="shared" si="7"/>
        <v/>
      </c>
    </row>
    <row r="461" spans="3:3" x14ac:dyDescent="0.3">
      <c r="C461" s="64" t="str">
        <f t="shared" si="7"/>
        <v/>
      </c>
    </row>
    <row r="462" spans="3:3" x14ac:dyDescent="0.3">
      <c r="C462" s="64" t="str">
        <f t="shared" si="7"/>
        <v/>
      </c>
    </row>
    <row r="463" spans="3:3" x14ac:dyDescent="0.3">
      <c r="C463" s="64" t="str">
        <f t="shared" si="7"/>
        <v/>
      </c>
    </row>
    <row r="464" spans="3:3" x14ac:dyDescent="0.3">
      <c r="C464" s="64" t="str">
        <f t="shared" si="7"/>
        <v/>
      </c>
    </row>
    <row r="465" spans="3:3" x14ac:dyDescent="0.3">
      <c r="C465" s="64" t="str">
        <f t="shared" si="7"/>
        <v/>
      </c>
    </row>
    <row r="466" spans="3:3" x14ac:dyDescent="0.3">
      <c r="C466" s="64" t="str">
        <f t="shared" si="7"/>
        <v/>
      </c>
    </row>
    <row r="467" spans="3:3" x14ac:dyDescent="0.3">
      <c r="C467" s="64" t="str">
        <f t="shared" si="7"/>
        <v/>
      </c>
    </row>
    <row r="468" spans="3:3" x14ac:dyDescent="0.3">
      <c r="C468" s="64" t="str">
        <f t="shared" si="7"/>
        <v/>
      </c>
    </row>
    <row r="469" spans="3:3" x14ac:dyDescent="0.3">
      <c r="C469" s="64" t="str">
        <f t="shared" si="7"/>
        <v/>
      </c>
    </row>
    <row r="470" spans="3:3" x14ac:dyDescent="0.3">
      <c r="C470" s="64" t="str">
        <f t="shared" si="7"/>
        <v/>
      </c>
    </row>
    <row r="471" spans="3:3" x14ac:dyDescent="0.3">
      <c r="C471" s="64" t="str">
        <f t="shared" si="7"/>
        <v/>
      </c>
    </row>
    <row r="472" spans="3:3" x14ac:dyDescent="0.3">
      <c r="C472" s="64" t="str">
        <f t="shared" si="7"/>
        <v/>
      </c>
    </row>
    <row r="473" spans="3:3" x14ac:dyDescent="0.3">
      <c r="C473" s="64" t="str">
        <f t="shared" si="7"/>
        <v/>
      </c>
    </row>
    <row r="474" spans="3:3" x14ac:dyDescent="0.3">
      <c r="C474" s="64" t="str">
        <f t="shared" si="7"/>
        <v/>
      </c>
    </row>
    <row r="475" spans="3:3" x14ac:dyDescent="0.3">
      <c r="C475" s="64" t="str">
        <f t="shared" si="7"/>
        <v/>
      </c>
    </row>
    <row r="476" spans="3:3" x14ac:dyDescent="0.3">
      <c r="C476" s="64" t="str">
        <f t="shared" si="7"/>
        <v/>
      </c>
    </row>
    <row r="477" spans="3:3" x14ac:dyDescent="0.3">
      <c r="C477" s="64" t="str">
        <f t="shared" si="7"/>
        <v/>
      </c>
    </row>
    <row r="478" spans="3:3" x14ac:dyDescent="0.3">
      <c r="C478" s="64" t="str">
        <f t="shared" si="7"/>
        <v/>
      </c>
    </row>
    <row r="479" spans="3:3" x14ac:dyDescent="0.3">
      <c r="C479" s="64" t="str">
        <f t="shared" si="7"/>
        <v/>
      </c>
    </row>
    <row r="480" spans="3:3" x14ac:dyDescent="0.3">
      <c r="C480" s="64" t="str">
        <f t="shared" si="7"/>
        <v/>
      </c>
    </row>
    <row r="481" spans="3:3" x14ac:dyDescent="0.3">
      <c r="C481" s="64" t="str">
        <f t="shared" ref="C481:C544" si="8">IF(ISBLANK(B481),"",PROPER(TEXT(B481,"MMMM")))</f>
        <v/>
      </c>
    </row>
    <row r="482" spans="3:3" x14ac:dyDescent="0.3">
      <c r="C482" s="64" t="str">
        <f t="shared" si="8"/>
        <v/>
      </c>
    </row>
    <row r="483" spans="3:3" x14ac:dyDescent="0.3">
      <c r="C483" s="64" t="str">
        <f t="shared" si="8"/>
        <v/>
      </c>
    </row>
    <row r="484" spans="3:3" x14ac:dyDescent="0.3">
      <c r="C484" s="64" t="str">
        <f t="shared" si="8"/>
        <v/>
      </c>
    </row>
    <row r="485" spans="3:3" x14ac:dyDescent="0.3">
      <c r="C485" s="64" t="str">
        <f t="shared" si="8"/>
        <v/>
      </c>
    </row>
    <row r="486" spans="3:3" x14ac:dyDescent="0.3">
      <c r="C486" s="64" t="str">
        <f t="shared" si="8"/>
        <v/>
      </c>
    </row>
    <row r="487" spans="3:3" x14ac:dyDescent="0.3">
      <c r="C487" s="64" t="str">
        <f t="shared" si="8"/>
        <v/>
      </c>
    </row>
    <row r="488" spans="3:3" x14ac:dyDescent="0.3">
      <c r="C488" s="64" t="str">
        <f t="shared" si="8"/>
        <v/>
      </c>
    </row>
    <row r="489" spans="3:3" x14ac:dyDescent="0.3">
      <c r="C489" s="64" t="str">
        <f t="shared" si="8"/>
        <v/>
      </c>
    </row>
    <row r="490" spans="3:3" x14ac:dyDescent="0.3">
      <c r="C490" s="64" t="str">
        <f t="shared" si="8"/>
        <v/>
      </c>
    </row>
    <row r="491" spans="3:3" x14ac:dyDescent="0.3">
      <c r="C491" s="64" t="str">
        <f t="shared" si="8"/>
        <v/>
      </c>
    </row>
    <row r="492" spans="3:3" x14ac:dyDescent="0.3">
      <c r="C492" s="64" t="str">
        <f t="shared" si="8"/>
        <v/>
      </c>
    </row>
    <row r="493" spans="3:3" x14ac:dyDescent="0.3">
      <c r="C493" s="64" t="str">
        <f t="shared" si="8"/>
        <v/>
      </c>
    </row>
    <row r="494" spans="3:3" x14ac:dyDescent="0.3">
      <c r="C494" s="64" t="str">
        <f t="shared" si="8"/>
        <v/>
      </c>
    </row>
    <row r="495" spans="3:3" x14ac:dyDescent="0.3">
      <c r="C495" s="64" t="str">
        <f t="shared" si="8"/>
        <v/>
      </c>
    </row>
    <row r="496" spans="3:3" x14ac:dyDescent="0.3">
      <c r="C496" s="64" t="str">
        <f t="shared" si="8"/>
        <v/>
      </c>
    </row>
    <row r="497" spans="3:3" x14ac:dyDescent="0.3">
      <c r="C497" s="64" t="str">
        <f t="shared" si="8"/>
        <v/>
      </c>
    </row>
    <row r="498" spans="3:3" x14ac:dyDescent="0.3">
      <c r="C498" s="64" t="str">
        <f t="shared" si="8"/>
        <v/>
      </c>
    </row>
    <row r="499" spans="3:3" x14ac:dyDescent="0.3">
      <c r="C499" s="64" t="str">
        <f t="shared" si="8"/>
        <v/>
      </c>
    </row>
    <row r="500" spans="3:3" x14ac:dyDescent="0.3">
      <c r="C500" s="64" t="str">
        <f t="shared" si="8"/>
        <v/>
      </c>
    </row>
    <row r="501" spans="3:3" x14ac:dyDescent="0.3">
      <c r="C501" s="64" t="str">
        <f t="shared" si="8"/>
        <v/>
      </c>
    </row>
    <row r="502" spans="3:3" x14ac:dyDescent="0.3">
      <c r="C502" s="64" t="str">
        <f t="shared" si="8"/>
        <v/>
      </c>
    </row>
    <row r="503" spans="3:3" x14ac:dyDescent="0.3">
      <c r="C503" s="64" t="str">
        <f t="shared" si="8"/>
        <v/>
      </c>
    </row>
    <row r="504" spans="3:3" x14ac:dyDescent="0.3">
      <c r="C504" s="64" t="str">
        <f t="shared" si="8"/>
        <v/>
      </c>
    </row>
    <row r="505" spans="3:3" x14ac:dyDescent="0.3">
      <c r="C505" s="64" t="str">
        <f t="shared" si="8"/>
        <v/>
      </c>
    </row>
    <row r="506" spans="3:3" x14ac:dyDescent="0.3">
      <c r="C506" s="64" t="str">
        <f t="shared" si="8"/>
        <v/>
      </c>
    </row>
    <row r="507" spans="3:3" x14ac:dyDescent="0.3">
      <c r="C507" s="64" t="str">
        <f t="shared" si="8"/>
        <v/>
      </c>
    </row>
    <row r="508" spans="3:3" x14ac:dyDescent="0.3">
      <c r="C508" s="64" t="str">
        <f t="shared" si="8"/>
        <v/>
      </c>
    </row>
    <row r="509" spans="3:3" x14ac:dyDescent="0.3">
      <c r="C509" s="64" t="str">
        <f t="shared" si="8"/>
        <v/>
      </c>
    </row>
    <row r="510" spans="3:3" x14ac:dyDescent="0.3">
      <c r="C510" s="64" t="str">
        <f t="shared" si="8"/>
        <v/>
      </c>
    </row>
    <row r="511" spans="3:3" x14ac:dyDescent="0.3">
      <c r="C511" s="64" t="str">
        <f t="shared" si="8"/>
        <v/>
      </c>
    </row>
    <row r="512" spans="3:3" x14ac:dyDescent="0.3">
      <c r="C512" s="64" t="str">
        <f t="shared" si="8"/>
        <v/>
      </c>
    </row>
    <row r="513" spans="3:3" x14ac:dyDescent="0.3">
      <c r="C513" s="64" t="str">
        <f t="shared" si="8"/>
        <v/>
      </c>
    </row>
    <row r="514" spans="3:3" x14ac:dyDescent="0.3">
      <c r="C514" s="64" t="str">
        <f t="shared" si="8"/>
        <v/>
      </c>
    </row>
    <row r="515" spans="3:3" x14ac:dyDescent="0.3">
      <c r="C515" s="64" t="str">
        <f t="shared" si="8"/>
        <v/>
      </c>
    </row>
    <row r="516" spans="3:3" x14ac:dyDescent="0.3">
      <c r="C516" s="64" t="str">
        <f t="shared" si="8"/>
        <v/>
      </c>
    </row>
    <row r="517" spans="3:3" x14ac:dyDescent="0.3">
      <c r="C517" s="64" t="str">
        <f t="shared" si="8"/>
        <v/>
      </c>
    </row>
    <row r="518" spans="3:3" x14ac:dyDescent="0.3">
      <c r="C518" s="64" t="str">
        <f t="shared" si="8"/>
        <v/>
      </c>
    </row>
    <row r="519" spans="3:3" x14ac:dyDescent="0.3">
      <c r="C519" s="64" t="str">
        <f t="shared" si="8"/>
        <v/>
      </c>
    </row>
    <row r="520" spans="3:3" x14ac:dyDescent="0.3">
      <c r="C520" s="64" t="str">
        <f t="shared" si="8"/>
        <v/>
      </c>
    </row>
    <row r="521" spans="3:3" x14ac:dyDescent="0.3">
      <c r="C521" s="64" t="str">
        <f t="shared" si="8"/>
        <v/>
      </c>
    </row>
    <row r="522" spans="3:3" x14ac:dyDescent="0.3">
      <c r="C522" s="64" t="str">
        <f t="shared" si="8"/>
        <v/>
      </c>
    </row>
    <row r="523" spans="3:3" x14ac:dyDescent="0.3">
      <c r="C523" s="64" t="str">
        <f t="shared" si="8"/>
        <v/>
      </c>
    </row>
    <row r="524" spans="3:3" x14ac:dyDescent="0.3">
      <c r="C524" s="64" t="str">
        <f t="shared" si="8"/>
        <v/>
      </c>
    </row>
    <row r="525" spans="3:3" x14ac:dyDescent="0.3">
      <c r="C525" s="64" t="str">
        <f t="shared" si="8"/>
        <v/>
      </c>
    </row>
    <row r="526" spans="3:3" x14ac:dyDescent="0.3">
      <c r="C526" s="64" t="str">
        <f t="shared" si="8"/>
        <v/>
      </c>
    </row>
    <row r="527" spans="3:3" x14ac:dyDescent="0.3">
      <c r="C527" s="64" t="str">
        <f t="shared" si="8"/>
        <v/>
      </c>
    </row>
    <row r="528" spans="3:3" x14ac:dyDescent="0.3">
      <c r="C528" s="64" t="str">
        <f t="shared" si="8"/>
        <v/>
      </c>
    </row>
    <row r="529" spans="3:3" x14ac:dyDescent="0.3">
      <c r="C529" s="64" t="str">
        <f t="shared" si="8"/>
        <v/>
      </c>
    </row>
    <row r="530" spans="3:3" x14ac:dyDescent="0.3">
      <c r="C530" s="64" t="str">
        <f t="shared" si="8"/>
        <v/>
      </c>
    </row>
    <row r="531" spans="3:3" x14ac:dyDescent="0.3">
      <c r="C531" s="64" t="str">
        <f t="shared" si="8"/>
        <v/>
      </c>
    </row>
    <row r="532" spans="3:3" x14ac:dyDescent="0.3">
      <c r="C532" s="64" t="str">
        <f t="shared" si="8"/>
        <v/>
      </c>
    </row>
    <row r="533" spans="3:3" x14ac:dyDescent="0.3">
      <c r="C533" s="64" t="str">
        <f t="shared" si="8"/>
        <v/>
      </c>
    </row>
    <row r="534" spans="3:3" x14ac:dyDescent="0.3">
      <c r="C534" s="64" t="str">
        <f t="shared" si="8"/>
        <v/>
      </c>
    </row>
    <row r="535" spans="3:3" x14ac:dyDescent="0.3">
      <c r="C535" s="64" t="str">
        <f t="shared" si="8"/>
        <v/>
      </c>
    </row>
    <row r="536" spans="3:3" x14ac:dyDescent="0.3">
      <c r="C536" s="64" t="str">
        <f t="shared" si="8"/>
        <v/>
      </c>
    </row>
    <row r="537" spans="3:3" x14ac:dyDescent="0.3">
      <c r="C537" s="64" t="str">
        <f t="shared" si="8"/>
        <v/>
      </c>
    </row>
    <row r="538" spans="3:3" x14ac:dyDescent="0.3">
      <c r="C538" s="64" t="str">
        <f t="shared" si="8"/>
        <v/>
      </c>
    </row>
    <row r="539" spans="3:3" x14ac:dyDescent="0.3">
      <c r="C539" s="64" t="str">
        <f t="shared" si="8"/>
        <v/>
      </c>
    </row>
    <row r="540" spans="3:3" x14ac:dyDescent="0.3">
      <c r="C540" s="64" t="str">
        <f t="shared" si="8"/>
        <v/>
      </c>
    </row>
    <row r="541" spans="3:3" x14ac:dyDescent="0.3">
      <c r="C541" s="64" t="str">
        <f t="shared" si="8"/>
        <v/>
      </c>
    </row>
    <row r="542" spans="3:3" x14ac:dyDescent="0.3">
      <c r="C542" s="64" t="str">
        <f t="shared" si="8"/>
        <v/>
      </c>
    </row>
    <row r="543" spans="3:3" x14ac:dyDescent="0.3">
      <c r="C543" s="64" t="str">
        <f t="shared" si="8"/>
        <v/>
      </c>
    </row>
    <row r="544" spans="3:3" x14ac:dyDescent="0.3">
      <c r="C544" s="64" t="str">
        <f t="shared" si="8"/>
        <v/>
      </c>
    </row>
    <row r="545" spans="3:3" x14ac:dyDescent="0.3">
      <c r="C545" s="64" t="str">
        <f t="shared" ref="C545:C608" si="9">IF(ISBLANK(B545),"",PROPER(TEXT(B545,"MMMM")))</f>
        <v/>
      </c>
    </row>
    <row r="546" spans="3:3" x14ac:dyDescent="0.3">
      <c r="C546" s="64" t="str">
        <f t="shared" si="9"/>
        <v/>
      </c>
    </row>
    <row r="547" spans="3:3" x14ac:dyDescent="0.3">
      <c r="C547" s="64" t="str">
        <f t="shared" si="9"/>
        <v/>
      </c>
    </row>
    <row r="548" spans="3:3" x14ac:dyDescent="0.3">
      <c r="C548" s="64" t="str">
        <f t="shared" si="9"/>
        <v/>
      </c>
    </row>
    <row r="549" spans="3:3" x14ac:dyDescent="0.3">
      <c r="C549" s="64" t="str">
        <f t="shared" si="9"/>
        <v/>
      </c>
    </row>
    <row r="550" spans="3:3" x14ac:dyDescent="0.3">
      <c r="C550" s="64" t="str">
        <f t="shared" si="9"/>
        <v/>
      </c>
    </row>
    <row r="551" spans="3:3" x14ac:dyDescent="0.3">
      <c r="C551" s="64" t="str">
        <f t="shared" si="9"/>
        <v/>
      </c>
    </row>
    <row r="552" spans="3:3" x14ac:dyDescent="0.3">
      <c r="C552" s="64" t="str">
        <f t="shared" si="9"/>
        <v/>
      </c>
    </row>
    <row r="553" spans="3:3" x14ac:dyDescent="0.3">
      <c r="C553" s="64" t="str">
        <f t="shared" si="9"/>
        <v/>
      </c>
    </row>
    <row r="554" spans="3:3" x14ac:dyDescent="0.3">
      <c r="C554" s="64" t="str">
        <f t="shared" si="9"/>
        <v/>
      </c>
    </row>
    <row r="555" spans="3:3" x14ac:dyDescent="0.3">
      <c r="C555" s="64" t="str">
        <f t="shared" si="9"/>
        <v/>
      </c>
    </row>
    <row r="556" spans="3:3" x14ac:dyDescent="0.3">
      <c r="C556" s="64" t="str">
        <f t="shared" si="9"/>
        <v/>
      </c>
    </row>
    <row r="557" spans="3:3" x14ac:dyDescent="0.3">
      <c r="C557" s="64" t="str">
        <f t="shared" si="9"/>
        <v/>
      </c>
    </row>
    <row r="558" spans="3:3" x14ac:dyDescent="0.3">
      <c r="C558" s="64" t="str">
        <f t="shared" si="9"/>
        <v/>
      </c>
    </row>
    <row r="559" spans="3:3" x14ac:dyDescent="0.3">
      <c r="C559" s="64" t="str">
        <f t="shared" si="9"/>
        <v/>
      </c>
    </row>
    <row r="560" spans="3:3" x14ac:dyDescent="0.3">
      <c r="C560" s="64" t="str">
        <f t="shared" si="9"/>
        <v/>
      </c>
    </row>
    <row r="561" spans="3:3" x14ac:dyDescent="0.3">
      <c r="C561" s="64" t="str">
        <f t="shared" si="9"/>
        <v/>
      </c>
    </row>
    <row r="562" spans="3:3" x14ac:dyDescent="0.3">
      <c r="C562" s="64" t="str">
        <f t="shared" si="9"/>
        <v/>
      </c>
    </row>
    <row r="563" spans="3:3" x14ac:dyDescent="0.3">
      <c r="C563" s="64" t="str">
        <f t="shared" si="9"/>
        <v/>
      </c>
    </row>
    <row r="564" spans="3:3" x14ac:dyDescent="0.3">
      <c r="C564" s="64" t="str">
        <f t="shared" si="9"/>
        <v/>
      </c>
    </row>
    <row r="565" spans="3:3" x14ac:dyDescent="0.3">
      <c r="C565" s="64" t="str">
        <f t="shared" si="9"/>
        <v/>
      </c>
    </row>
    <row r="566" spans="3:3" x14ac:dyDescent="0.3">
      <c r="C566" s="64" t="str">
        <f t="shared" si="9"/>
        <v/>
      </c>
    </row>
    <row r="567" spans="3:3" x14ac:dyDescent="0.3">
      <c r="C567" s="64" t="str">
        <f t="shared" si="9"/>
        <v/>
      </c>
    </row>
    <row r="568" spans="3:3" x14ac:dyDescent="0.3">
      <c r="C568" s="64" t="str">
        <f t="shared" si="9"/>
        <v/>
      </c>
    </row>
    <row r="569" spans="3:3" x14ac:dyDescent="0.3">
      <c r="C569" s="64" t="str">
        <f t="shared" si="9"/>
        <v/>
      </c>
    </row>
    <row r="570" spans="3:3" x14ac:dyDescent="0.3">
      <c r="C570" s="64" t="str">
        <f t="shared" si="9"/>
        <v/>
      </c>
    </row>
    <row r="571" spans="3:3" x14ac:dyDescent="0.3">
      <c r="C571" s="64" t="str">
        <f t="shared" si="9"/>
        <v/>
      </c>
    </row>
    <row r="572" spans="3:3" x14ac:dyDescent="0.3">
      <c r="C572" s="64" t="str">
        <f t="shared" si="9"/>
        <v/>
      </c>
    </row>
    <row r="573" spans="3:3" x14ac:dyDescent="0.3">
      <c r="C573" s="64" t="str">
        <f t="shared" si="9"/>
        <v/>
      </c>
    </row>
    <row r="574" spans="3:3" x14ac:dyDescent="0.3">
      <c r="C574" s="64" t="str">
        <f t="shared" si="9"/>
        <v/>
      </c>
    </row>
    <row r="575" spans="3:3" x14ac:dyDescent="0.3">
      <c r="C575" s="64" t="str">
        <f t="shared" si="9"/>
        <v/>
      </c>
    </row>
    <row r="576" spans="3:3" x14ac:dyDescent="0.3">
      <c r="C576" s="64" t="str">
        <f t="shared" si="9"/>
        <v/>
      </c>
    </row>
    <row r="577" spans="3:3" x14ac:dyDescent="0.3">
      <c r="C577" s="64" t="str">
        <f t="shared" si="9"/>
        <v/>
      </c>
    </row>
    <row r="578" spans="3:3" x14ac:dyDescent="0.3">
      <c r="C578" s="64" t="str">
        <f t="shared" si="9"/>
        <v/>
      </c>
    </row>
    <row r="579" spans="3:3" x14ac:dyDescent="0.3">
      <c r="C579" s="64" t="str">
        <f t="shared" si="9"/>
        <v/>
      </c>
    </row>
    <row r="580" spans="3:3" x14ac:dyDescent="0.3">
      <c r="C580" s="64" t="str">
        <f t="shared" si="9"/>
        <v/>
      </c>
    </row>
    <row r="581" spans="3:3" x14ac:dyDescent="0.3">
      <c r="C581" s="64" t="str">
        <f t="shared" si="9"/>
        <v/>
      </c>
    </row>
    <row r="582" spans="3:3" x14ac:dyDescent="0.3">
      <c r="C582" s="64" t="str">
        <f t="shared" si="9"/>
        <v/>
      </c>
    </row>
    <row r="583" spans="3:3" x14ac:dyDescent="0.3">
      <c r="C583" s="64" t="str">
        <f t="shared" si="9"/>
        <v/>
      </c>
    </row>
    <row r="584" spans="3:3" x14ac:dyDescent="0.3">
      <c r="C584" s="64" t="str">
        <f t="shared" si="9"/>
        <v/>
      </c>
    </row>
    <row r="585" spans="3:3" x14ac:dyDescent="0.3">
      <c r="C585" s="64" t="str">
        <f t="shared" si="9"/>
        <v/>
      </c>
    </row>
    <row r="586" spans="3:3" x14ac:dyDescent="0.3">
      <c r="C586" s="64" t="str">
        <f t="shared" si="9"/>
        <v/>
      </c>
    </row>
    <row r="587" spans="3:3" x14ac:dyDescent="0.3">
      <c r="C587" s="64" t="str">
        <f t="shared" si="9"/>
        <v/>
      </c>
    </row>
    <row r="588" spans="3:3" x14ac:dyDescent="0.3">
      <c r="C588" s="64" t="str">
        <f t="shared" si="9"/>
        <v/>
      </c>
    </row>
    <row r="589" spans="3:3" x14ac:dyDescent="0.3">
      <c r="C589" s="64" t="str">
        <f t="shared" si="9"/>
        <v/>
      </c>
    </row>
    <row r="590" spans="3:3" x14ac:dyDescent="0.3">
      <c r="C590" s="64" t="str">
        <f t="shared" si="9"/>
        <v/>
      </c>
    </row>
    <row r="591" spans="3:3" x14ac:dyDescent="0.3">
      <c r="C591" s="64" t="str">
        <f t="shared" si="9"/>
        <v/>
      </c>
    </row>
    <row r="592" spans="3:3" x14ac:dyDescent="0.3">
      <c r="C592" s="64" t="str">
        <f t="shared" si="9"/>
        <v/>
      </c>
    </row>
    <row r="593" spans="3:3" x14ac:dyDescent="0.3">
      <c r="C593" s="64" t="str">
        <f t="shared" si="9"/>
        <v/>
      </c>
    </row>
    <row r="594" spans="3:3" x14ac:dyDescent="0.3">
      <c r="C594" s="64" t="str">
        <f t="shared" si="9"/>
        <v/>
      </c>
    </row>
    <row r="595" spans="3:3" x14ac:dyDescent="0.3">
      <c r="C595" s="64" t="str">
        <f t="shared" si="9"/>
        <v/>
      </c>
    </row>
    <row r="596" spans="3:3" x14ac:dyDescent="0.3">
      <c r="C596" s="64" t="str">
        <f t="shared" si="9"/>
        <v/>
      </c>
    </row>
    <row r="597" spans="3:3" x14ac:dyDescent="0.3">
      <c r="C597" s="64" t="str">
        <f t="shared" si="9"/>
        <v/>
      </c>
    </row>
    <row r="598" spans="3:3" x14ac:dyDescent="0.3">
      <c r="C598" s="64" t="str">
        <f t="shared" si="9"/>
        <v/>
      </c>
    </row>
    <row r="599" spans="3:3" x14ac:dyDescent="0.3">
      <c r="C599" s="64" t="str">
        <f t="shared" si="9"/>
        <v/>
      </c>
    </row>
    <row r="600" spans="3:3" x14ac:dyDescent="0.3">
      <c r="C600" s="64" t="str">
        <f t="shared" si="9"/>
        <v/>
      </c>
    </row>
    <row r="601" spans="3:3" x14ac:dyDescent="0.3">
      <c r="C601" s="64" t="str">
        <f t="shared" si="9"/>
        <v/>
      </c>
    </row>
    <row r="602" spans="3:3" x14ac:dyDescent="0.3">
      <c r="C602" s="64" t="str">
        <f t="shared" si="9"/>
        <v/>
      </c>
    </row>
    <row r="603" spans="3:3" x14ac:dyDescent="0.3">
      <c r="C603" s="64" t="str">
        <f t="shared" si="9"/>
        <v/>
      </c>
    </row>
    <row r="604" spans="3:3" x14ac:dyDescent="0.3">
      <c r="C604" s="64" t="str">
        <f t="shared" si="9"/>
        <v/>
      </c>
    </row>
    <row r="605" spans="3:3" x14ac:dyDescent="0.3">
      <c r="C605" s="64" t="str">
        <f t="shared" si="9"/>
        <v/>
      </c>
    </row>
    <row r="606" spans="3:3" x14ac:dyDescent="0.3">
      <c r="C606" s="64" t="str">
        <f t="shared" si="9"/>
        <v/>
      </c>
    </row>
    <row r="607" spans="3:3" x14ac:dyDescent="0.3">
      <c r="C607" s="64" t="str">
        <f t="shared" si="9"/>
        <v/>
      </c>
    </row>
    <row r="608" spans="3:3" x14ac:dyDescent="0.3">
      <c r="C608" s="64" t="str">
        <f t="shared" si="9"/>
        <v/>
      </c>
    </row>
    <row r="609" spans="3:3" x14ac:dyDescent="0.3">
      <c r="C609" s="64" t="str">
        <f t="shared" ref="C609:C672" si="10">IF(ISBLANK(B609),"",PROPER(TEXT(B609,"MMMM")))</f>
        <v/>
      </c>
    </row>
    <row r="610" spans="3:3" x14ac:dyDescent="0.3">
      <c r="C610" s="64" t="str">
        <f t="shared" si="10"/>
        <v/>
      </c>
    </row>
    <row r="611" spans="3:3" x14ac:dyDescent="0.3">
      <c r="C611" s="64" t="str">
        <f t="shared" si="10"/>
        <v/>
      </c>
    </row>
    <row r="612" spans="3:3" x14ac:dyDescent="0.3">
      <c r="C612" s="64" t="str">
        <f t="shared" si="10"/>
        <v/>
      </c>
    </row>
    <row r="613" spans="3:3" x14ac:dyDescent="0.3">
      <c r="C613" s="64" t="str">
        <f t="shared" si="10"/>
        <v/>
      </c>
    </row>
    <row r="614" spans="3:3" x14ac:dyDescent="0.3">
      <c r="C614" s="64" t="str">
        <f t="shared" si="10"/>
        <v/>
      </c>
    </row>
    <row r="615" spans="3:3" x14ac:dyDescent="0.3">
      <c r="C615" s="64" t="str">
        <f t="shared" si="10"/>
        <v/>
      </c>
    </row>
    <row r="616" spans="3:3" x14ac:dyDescent="0.3">
      <c r="C616" s="64" t="str">
        <f t="shared" si="10"/>
        <v/>
      </c>
    </row>
    <row r="617" spans="3:3" x14ac:dyDescent="0.3">
      <c r="C617" s="64" t="str">
        <f t="shared" si="10"/>
        <v/>
      </c>
    </row>
    <row r="618" spans="3:3" x14ac:dyDescent="0.3">
      <c r="C618" s="64" t="str">
        <f t="shared" si="10"/>
        <v/>
      </c>
    </row>
    <row r="619" spans="3:3" x14ac:dyDescent="0.3">
      <c r="C619" s="64" t="str">
        <f t="shared" si="10"/>
        <v/>
      </c>
    </row>
    <row r="620" spans="3:3" x14ac:dyDescent="0.3">
      <c r="C620" s="64" t="str">
        <f t="shared" si="10"/>
        <v/>
      </c>
    </row>
    <row r="621" spans="3:3" x14ac:dyDescent="0.3">
      <c r="C621" s="64" t="str">
        <f t="shared" si="10"/>
        <v/>
      </c>
    </row>
    <row r="622" spans="3:3" x14ac:dyDescent="0.3">
      <c r="C622" s="64" t="str">
        <f t="shared" si="10"/>
        <v/>
      </c>
    </row>
    <row r="623" spans="3:3" x14ac:dyDescent="0.3">
      <c r="C623" s="64" t="str">
        <f t="shared" si="10"/>
        <v/>
      </c>
    </row>
    <row r="624" spans="3:3" x14ac:dyDescent="0.3">
      <c r="C624" s="64" t="str">
        <f t="shared" si="10"/>
        <v/>
      </c>
    </row>
    <row r="625" spans="3:3" x14ac:dyDescent="0.3">
      <c r="C625" s="64" t="str">
        <f t="shared" si="10"/>
        <v/>
      </c>
    </row>
    <row r="626" spans="3:3" x14ac:dyDescent="0.3">
      <c r="C626" s="64" t="str">
        <f t="shared" si="10"/>
        <v/>
      </c>
    </row>
    <row r="627" spans="3:3" x14ac:dyDescent="0.3">
      <c r="C627" s="64" t="str">
        <f t="shared" si="10"/>
        <v/>
      </c>
    </row>
    <row r="628" spans="3:3" x14ac:dyDescent="0.3">
      <c r="C628" s="64" t="str">
        <f t="shared" si="10"/>
        <v/>
      </c>
    </row>
    <row r="629" spans="3:3" x14ac:dyDescent="0.3">
      <c r="C629" s="64" t="str">
        <f t="shared" si="10"/>
        <v/>
      </c>
    </row>
    <row r="630" spans="3:3" x14ac:dyDescent="0.3">
      <c r="C630" s="64" t="str">
        <f t="shared" si="10"/>
        <v/>
      </c>
    </row>
    <row r="631" spans="3:3" x14ac:dyDescent="0.3">
      <c r="C631" s="64" t="str">
        <f t="shared" si="10"/>
        <v/>
      </c>
    </row>
    <row r="632" spans="3:3" x14ac:dyDescent="0.3">
      <c r="C632" s="64" t="str">
        <f t="shared" si="10"/>
        <v/>
      </c>
    </row>
    <row r="633" spans="3:3" x14ac:dyDescent="0.3">
      <c r="C633" s="64" t="str">
        <f t="shared" si="10"/>
        <v/>
      </c>
    </row>
    <row r="634" spans="3:3" x14ac:dyDescent="0.3">
      <c r="C634" s="64" t="str">
        <f t="shared" si="10"/>
        <v/>
      </c>
    </row>
    <row r="635" spans="3:3" x14ac:dyDescent="0.3">
      <c r="C635" s="64" t="str">
        <f t="shared" si="10"/>
        <v/>
      </c>
    </row>
    <row r="636" spans="3:3" x14ac:dyDescent="0.3">
      <c r="C636" s="64" t="str">
        <f t="shared" si="10"/>
        <v/>
      </c>
    </row>
    <row r="637" spans="3:3" x14ac:dyDescent="0.3">
      <c r="C637" s="64" t="str">
        <f t="shared" si="10"/>
        <v/>
      </c>
    </row>
    <row r="638" spans="3:3" x14ac:dyDescent="0.3">
      <c r="C638" s="64" t="str">
        <f t="shared" si="10"/>
        <v/>
      </c>
    </row>
    <row r="639" spans="3:3" x14ac:dyDescent="0.3">
      <c r="C639" s="64" t="str">
        <f t="shared" si="10"/>
        <v/>
      </c>
    </row>
    <row r="640" spans="3:3" x14ac:dyDescent="0.3">
      <c r="C640" s="64" t="str">
        <f t="shared" si="10"/>
        <v/>
      </c>
    </row>
    <row r="641" spans="3:3" x14ac:dyDescent="0.3">
      <c r="C641" s="64" t="str">
        <f t="shared" si="10"/>
        <v/>
      </c>
    </row>
    <row r="642" spans="3:3" x14ac:dyDescent="0.3">
      <c r="C642" s="64" t="str">
        <f t="shared" si="10"/>
        <v/>
      </c>
    </row>
    <row r="643" spans="3:3" x14ac:dyDescent="0.3">
      <c r="C643" s="64" t="str">
        <f t="shared" si="10"/>
        <v/>
      </c>
    </row>
    <row r="644" spans="3:3" x14ac:dyDescent="0.3">
      <c r="C644" s="64" t="str">
        <f t="shared" si="10"/>
        <v/>
      </c>
    </row>
    <row r="645" spans="3:3" x14ac:dyDescent="0.3">
      <c r="C645" s="64" t="str">
        <f t="shared" si="10"/>
        <v/>
      </c>
    </row>
    <row r="646" spans="3:3" x14ac:dyDescent="0.3">
      <c r="C646" s="64" t="str">
        <f t="shared" si="10"/>
        <v/>
      </c>
    </row>
    <row r="647" spans="3:3" x14ac:dyDescent="0.3">
      <c r="C647" s="64" t="str">
        <f t="shared" si="10"/>
        <v/>
      </c>
    </row>
    <row r="648" spans="3:3" x14ac:dyDescent="0.3">
      <c r="C648" s="64" t="str">
        <f t="shared" si="10"/>
        <v/>
      </c>
    </row>
    <row r="649" spans="3:3" x14ac:dyDescent="0.3">
      <c r="C649" s="64" t="str">
        <f t="shared" si="10"/>
        <v/>
      </c>
    </row>
    <row r="650" spans="3:3" x14ac:dyDescent="0.3">
      <c r="C650" s="64" t="str">
        <f t="shared" si="10"/>
        <v/>
      </c>
    </row>
    <row r="651" spans="3:3" x14ac:dyDescent="0.3">
      <c r="C651" s="64" t="str">
        <f t="shared" si="10"/>
        <v/>
      </c>
    </row>
    <row r="652" spans="3:3" x14ac:dyDescent="0.3">
      <c r="C652" s="64" t="str">
        <f t="shared" si="10"/>
        <v/>
      </c>
    </row>
    <row r="653" spans="3:3" x14ac:dyDescent="0.3">
      <c r="C653" s="64" t="str">
        <f t="shared" si="10"/>
        <v/>
      </c>
    </row>
    <row r="654" spans="3:3" x14ac:dyDescent="0.3">
      <c r="C654" s="64" t="str">
        <f t="shared" si="10"/>
        <v/>
      </c>
    </row>
    <row r="655" spans="3:3" x14ac:dyDescent="0.3">
      <c r="C655" s="64" t="str">
        <f t="shared" si="10"/>
        <v/>
      </c>
    </row>
    <row r="656" spans="3:3" x14ac:dyDescent="0.3">
      <c r="C656" s="64" t="str">
        <f t="shared" si="10"/>
        <v/>
      </c>
    </row>
    <row r="657" spans="3:3" x14ac:dyDescent="0.3">
      <c r="C657" s="64" t="str">
        <f t="shared" si="10"/>
        <v/>
      </c>
    </row>
    <row r="658" spans="3:3" x14ac:dyDescent="0.3">
      <c r="C658" s="64" t="str">
        <f t="shared" si="10"/>
        <v/>
      </c>
    </row>
    <row r="659" spans="3:3" x14ac:dyDescent="0.3">
      <c r="C659" s="64" t="str">
        <f t="shared" si="10"/>
        <v/>
      </c>
    </row>
    <row r="660" spans="3:3" x14ac:dyDescent="0.3">
      <c r="C660" s="64" t="str">
        <f t="shared" si="10"/>
        <v/>
      </c>
    </row>
    <row r="661" spans="3:3" x14ac:dyDescent="0.3">
      <c r="C661" s="64" t="str">
        <f t="shared" si="10"/>
        <v/>
      </c>
    </row>
    <row r="662" spans="3:3" x14ac:dyDescent="0.3">
      <c r="C662" s="64" t="str">
        <f t="shared" si="10"/>
        <v/>
      </c>
    </row>
    <row r="663" spans="3:3" x14ac:dyDescent="0.3">
      <c r="C663" s="64" t="str">
        <f t="shared" si="10"/>
        <v/>
      </c>
    </row>
    <row r="664" spans="3:3" x14ac:dyDescent="0.3">
      <c r="C664" s="64" t="str">
        <f t="shared" si="10"/>
        <v/>
      </c>
    </row>
    <row r="665" spans="3:3" x14ac:dyDescent="0.3">
      <c r="C665" s="64" t="str">
        <f t="shared" si="10"/>
        <v/>
      </c>
    </row>
    <row r="666" spans="3:3" x14ac:dyDescent="0.3">
      <c r="C666" s="64" t="str">
        <f t="shared" si="10"/>
        <v/>
      </c>
    </row>
    <row r="667" spans="3:3" x14ac:dyDescent="0.3">
      <c r="C667" s="64" t="str">
        <f t="shared" si="10"/>
        <v/>
      </c>
    </row>
    <row r="668" spans="3:3" x14ac:dyDescent="0.3">
      <c r="C668" s="64" t="str">
        <f t="shared" si="10"/>
        <v/>
      </c>
    </row>
    <row r="669" spans="3:3" x14ac:dyDescent="0.3">
      <c r="C669" s="64" t="str">
        <f t="shared" si="10"/>
        <v/>
      </c>
    </row>
    <row r="670" spans="3:3" x14ac:dyDescent="0.3">
      <c r="C670" s="64" t="str">
        <f t="shared" si="10"/>
        <v/>
      </c>
    </row>
    <row r="671" spans="3:3" x14ac:dyDescent="0.3">
      <c r="C671" s="64" t="str">
        <f t="shared" si="10"/>
        <v/>
      </c>
    </row>
    <row r="672" spans="3:3" x14ac:dyDescent="0.3">
      <c r="C672" s="64" t="str">
        <f t="shared" si="10"/>
        <v/>
      </c>
    </row>
    <row r="673" spans="3:3" x14ac:dyDescent="0.3">
      <c r="C673" s="64" t="str">
        <f t="shared" ref="C673:C736" si="11">IF(ISBLANK(B673),"",PROPER(TEXT(B673,"MMMM")))</f>
        <v/>
      </c>
    </row>
    <row r="674" spans="3:3" x14ac:dyDescent="0.3">
      <c r="C674" s="64" t="str">
        <f t="shared" si="11"/>
        <v/>
      </c>
    </row>
    <row r="675" spans="3:3" x14ac:dyDescent="0.3">
      <c r="C675" s="64" t="str">
        <f t="shared" si="11"/>
        <v/>
      </c>
    </row>
    <row r="676" spans="3:3" x14ac:dyDescent="0.3">
      <c r="C676" s="64" t="str">
        <f t="shared" si="11"/>
        <v/>
      </c>
    </row>
    <row r="677" spans="3:3" x14ac:dyDescent="0.3">
      <c r="C677" s="64" t="str">
        <f t="shared" si="11"/>
        <v/>
      </c>
    </row>
    <row r="678" spans="3:3" x14ac:dyDescent="0.3">
      <c r="C678" s="64" t="str">
        <f t="shared" si="11"/>
        <v/>
      </c>
    </row>
    <row r="679" spans="3:3" x14ac:dyDescent="0.3">
      <c r="C679" s="64" t="str">
        <f t="shared" si="11"/>
        <v/>
      </c>
    </row>
    <row r="680" spans="3:3" x14ac:dyDescent="0.3">
      <c r="C680" s="64" t="str">
        <f t="shared" si="11"/>
        <v/>
      </c>
    </row>
    <row r="681" spans="3:3" x14ac:dyDescent="0.3">
      <c r="C681" s="64" t="str">
        <f t="shared" si="11"/>
        <v/>
      </c>
    </row>
    <row r="682" spans="3:3" x14ac:dyDescent="0.3">
      <c r="C682" s="64" t="str">
        <f t="shared" si="11"/>
        <v/>
      </c>
    </row>
    <row r="683" spans="3:3" x14ac:dyDescent="0.3">
      <c r="C683" s="64" t="str">
        <f t="shared" si="11"/>
        <v/>
      </c>
    </row>
    <row r="684" spans="3:3" x14ac:dyDescent="0.3">
      <c r="C684" s="64" t="str">
        <f t="shared" si="11"/>
        <v/>
      </c>
    </row>
    <row r="685" spans="3:3" x14ac:dyDescent="0.3">
      <c r="C685" s="64" t="str">
        <f t="shared" si="11"/>
        <v/>
      </c>
    </row>
    <row r="686" spans="3:3" x14ac:dyDescent="0.3">
      <c r="C686" s="64" t="str">
        <f t="shared" si="11"/>
        <v/>
      </c>
    </row>
    <row r="687" spans="3:3" x14ac:dyDescent="0.3">
      <c r="C687" s="64" t="str">
        <f t="shared" si="11"/>
        <v/>
      </c>
    </row>
    <row r="688" spans="3:3" x14ac:dyDescent="0.3">
      <c r="C688" s="64" t="str">
        <f t="shared" si="11"/>
        <v/>
      </c>
    </row>
    <row r="689" spans="3:3" x14ac:dyDescent="0.3">
      <c r="C689" s="64" t="str">
        <f t="shared" si="11"/>
        <v/>
      </c>
    </row>
    <row r="690" spans="3:3" x14ac:dyDescent="0.3">
      <c r="C690" s="64" t="str">
        <f t="shared" si="11"/>
        <v/>
      </c>
    </row>
    <row r="691" spans="3:3" x14ac:dyDescent="0.3">
      <c r="C691" s="64" t="str">
        <f t="shared" si="11"/>
        <v/>
      </c>
    </row>
    <row r="692" spans="3:3" x14ac:dyDescent="0.3">
      <c r="C692" s="64" t="str">
        <f t="shared" si="11"/>
        <v/>
      </c>
    </row>
    <row r="693" spans="3:3" x14ac:dyDescent="0.3">
      <c r="C693" s="64" t="str">
        <f t="shared" si="11"/>
        <v/>
      </c>
    </row>
    <row r="694" spans="3:3" x14ac:dyDescent="0.3">
      <c r="C694" s="64" t="str">
        <f t="shared" si="11"/>
        <v/>
      </c>
    </row>
    <row r="695" spans="3:3" x14ac:dyDescent="0.3">
      <c r="C695" s="64" t="str">
        <f t="shared" si="11"/>
        <v/>
      </c>
    </row>
    <row r="696" spans="3:3" x14ac:dyDescent="0.3">
      <c r="C696" s="64" t="str">
        <f t="shared" si="11"/>
        <v/>
      </c>
    </row>
    <row r="697" spans="3:3" x14ac:dyDescent="0.3">
      <c r="C697" s="64" t="str">
        <f t="shared" si="11"/>
        <v/>
      </c>
    </row>
    <row r="698" spans="3:3" x14ac:dyDescent="0.3">
      <c r="C698" s="64" t="str">
        <f t="shared" si="11"/>
        <v/>
      </c>
    </row>
    <row r="699" spans="3:3" x14ac:dyDescent="0.3">
      <c r="C699" s="64" t="str">
        <f t="shared" si="11"/>
        <v/>
      </c>
    </row>
    <row r="700" spans="3:3" x14ac:dyDescent="0.3">
      <c r="C700" s="64" t="str">
        <f t="shared" si="11"/>
        <v/>
      </c>
    </row>
    <row r="701" spans="3:3" x14ac:dyDescent="0.3">
      <c r="C701" s="64" t="str">
        <f t="shared" si="11"/>
        <v/>
      </c>
    </row>
    <row r="702" spans="3:3" x14ac:dyDescent="0.3">
      <c r="C702" s="64" t="str">
        <f t="shared" si="11"/>
        <v/>
      </c>
    </row>
    <row r="703" spans="3:3" x14ac:dyDescent="0.3">
      <c r="C703" s="64" t="str">
        <f t="shared" si="11"/>
        <v/>
      </c>
    </row>
    <row r="704" spans="3:3" x14ac:dyDescent="0.3">
      <c r="C704" s="64" t="str">
        <f t="shared" si="11"/>
        <v/>
      </c>
    </row>
    <row r="705" spans="3:3" x14ac:dyDescent="0.3">
      <c r="C705" s="64" t="str">
        <f t="shared" si="11"/>
        <v/>
      </c>
    </row>
    <row r="706" spans="3:3" x14ac:dyDescent="0.3">
      <c r="C706" s="64" t="str">
        <f t="shared" si="11"/>
        <v/>
      </c>
    </row>
    <row r="707" spans="3:3" x14ac:dyDescent="0.3">
      <c r="C707" s="64" t="str">
        <f t="shared" si="11"/>
        <v/>
      </c>
    </row>
    <row r="708" spans="3:3" x14ac:dyDescent="0.3">
      <c r="C708" s="64" t="str">
        <f t="shared" si="11"/>
        <v/>
      </c>
    </row>
    <row r="709" spans="3:3" x14ac:dyDescent="0.3">
      <c r="C709" s="64" t="str">
        <f t="shared" si="11"/>
        <v/>
      </c>
    </row>
    <row r="710" spans="3:3" x14ac:dyDescent="0.3">
      <c r="C710" s="64" t="str">
        <f t="shared" si="11"/>
        <v/>
      </c>
    </row>
    <row r="711" spans="3:3" x14ac:dyDescent="0.3">
      <c r="C711" s="64" t="str">
        <f t="shared" si="11"/>
        <v/>
      </c>
    </row>
    <row r="712" spans="3:3" x14ac:dyDescent="0.3">
      <c r="C712" s="64" t="str">
        <f t="shared" si="11"/>
        <v/>
      </c>
    </row>
    <row r="713" spans="3:3" x14ac:dyDescent="0.3">
      <c r="C713" s="64" t="str">
        <f t="shared" si="11"/>
        <v/>
      </c>
    </row>
    <row r="714" spans="3:3" x14ac:dyDescent="0.3">
      <c r="C714" s="64" t="str">
        <f t="shared" si="11"/>
        <v/>
      </c>
    </row>
    <row r="715" spans="3:3" x14ac:dyDescent="0.3">
      <c r="C715" s="64" t="str">
        <f t="shared" si="11"/>
        <v/>
      </c>
    </row>
    <row r="716" spans="3:3" x14ac:dyDescent="0.3">
      <c r="C716" s="64" t="str">
        <f t="shared" si="11"/>
        <v/>
      </c>
    </row>
    <row r="717" spans="3:3" x14ac:dyDescent="0.3">
      <c r="C717" s="64" t="str">
        <f t="shared" si="11"/>
        <v/>
      </c>
    </row>
    <row r="718" spans="3:3" x14ac:dyDescent="0.3">
      <c r="C718" s="64" t="str">
        <f t="shared" si="11"/>
        <v/>
      </c>
    </row>
    <row r="719" spans="3:3" x14ac:dyDescent="0.3">
      <c r="C719" s="64" t="str">
        <f t="shared" si="11"/>
        <v/>
      </c>
    </row>
    <row r="720" spans="3:3" x14ac:dyDescent="0.3">
      <c r="C720" s="64" t="str">
        <f t="shared" si="11"/>
        <v/>
      </c>
    </row>
    <row r="721" spans="3:3" x14ac:dyDescent="0.3">
      <c r="C721" s="64" t="str">
        <f t="shared" si="11"/>
        <v/>
      </c>
    </row>
    <row r="722" spans="3:3" x14ac:dyDescent="0.3">
      <c r="C722" s="64" t="str">
        <f t="shared" si="11"/>
        <v/>
      </c>
    </row>
    <row r="723" spans="3:3" x14ac:dyDescent="0.3">
      <c r="C723" s="64" t="str">
        <f t="shared" si="11"/>
        <v/>
      </c>
    </row>
    <row r="724" spans="3:3" x14ac:dyDescent="0.3">
      <c r="C724" s="64" t="str">
        <f t="shared" si="11"/>
        <v/>
      </c>
    </row>
    <row r="725" spans="3:3" x14ac:dyDescent="0.3">
      <c r="C725" s="64" t="str">
        <f t="shared" si="11"/>
        <v/>
      </c>
    </row>
    <row r="726" spans="3:3" x14ac:dyDescent="0.3">
      <c r="C726" s="64" t="str">
        <f t="shared" si="11"/>
        <v/>
      </c>
    </row>
    <row r="727" spans="3:3" x14ac:dyDescent="0.3">
      <c r="C727" s="64" t="str">
        <f t="shared" si="11"/>
        <v/>
      </c>
    </row>
    <row r="728" spans="3:3" x14ac:dyDescent="0.3">
      <c r="C728" s="64" t="str">
        <f t="shared" si="11"/>
        <v/>
      </c>
    </row>
    <row r="729" spans="3:3" x14ac:dyDescent="0.3">
      <c r="C729" s="64" t="str">
        <f t="shared" si="11"/>
        <v/>
      </c>
    </row>
    <row r="730" spans="3:3" x14ac:dyDescent="0.3">
      <c r="C730" s="64" t="str">
        <f t="shared" si="11"/>
        <v/>
      </c>
    </row>
    <row r="731" spans="3:3" x14ac:dyDescent="0.3">
      <c r="C731" s="64" t="str">
        <f t="shared" si="11"/>
        <v/>
      </c>
    </row>
    <row r="732" spans="3:3" x14ac:dyDescent="0.3">
      <c r="C732" s="64" t="str">
        <f t="shared" si="11"/>
        <v/>
      </c>
    </row>
    <row r="733" spans="3:3" x14ac:dyDescent="0.3">
      <c r="C733" s="64" t="str">
        <f t="shared" si="11"/>
        <v/>
      </c>
    </row>
    <row r="734" spans="3:3" x14ac:dyDescent="0.3">
      <c r="C734" s="64" t="str">
        <f t="shared" si="11"/>
        <v/>
      </c>
    </row>
    <row r="735" spans="3:3" x14ac:dyDescent="0.3">
      <c r="C735" s="64" t="str">
        <f t="shared" si="11"/>
        <v/>
      </c>
    </row>
    <row r="736" spans="3:3" x14ac:dyDescent="0.3">
      <c r="C736" s="64" t="str">
        <f t="shared" si="11"/>
        <v/>
      </c>
    </row>
    <row r="737" spans="3:3" x14ac:dyDescent="0.3">
      <c r="C737" s="64" t="str">
        <f t="shared" ref="C737:C785" si="12">IF(ISBLANK(B737),"",PROPER(TEXT(B737,"MMMM")))</f>
        <v/>
      </c>
    </row>
    <row r="738" spans="3:3" x14ac:dyDescent="0.3">
      <c r="C738" s="64" t="str">
        <f t="shared" si="12"/>
        <v/>
      </c>
    </row>
    <row r="739" spans="3:3" x14ac:dyDescent="0.3">
      <c r="C739" s="64" t="str">
        <f t="shared" si="12"/>
        <v/>
      </c>
    </row>
    <row r="740" spans="3:3" x14ac:dyDescent="0.3">
      <c r="C740" s="64" t="str">
        <f t="shared" si="12"/>
        <v/>
      </c>
    </row>
    <row r="741" spans="3:3" x14ac:dyDescent="0.3">
      <c r="C741" s="64" t="str">
        <f t="shared" si="12"/>
        <v/>
      </c>
    </row>
    <row r="742" spans="3:3" x14ac:dyDescent="0.3">
      <c r="C742" s="64" t="str">
        <f t="shared" si="12"/>
        <v/>
      </c>
    </row>
    <row r="743" spans="3:3" x14ac:dyDescent="0.3">
      <c r="C743" s="64" t="str">
        <f t="shared" si="12"/>
        <v/>
      </c>
    </row>
    <row r="744" spans="3:3" x14ac:dyDescent="0.3">
      <c r="C744" s="64" t="str">
        <f t="shared" si="12"/>
        <v/>
      </c>
    </row>
    <row r="745" spans="3:3" x14ac:dyDescent="0.3">
      <c r="C745" s="64" t="str">
        <f t="shared" si="12"/>
        <v/>
      </c>
    </row>
    <row r="746" spans="3:3" x14ac:dyDescent="0.3">
      <c r="C746" s="64" t="str">
        <f t="shared" si="12"/>
        <v/>
      </c>
    </row>
    <row r="747" spans="3:3" x14ac:dyDescent="0.3">
      <c r="C747" s="64" t="str">
        <f t="shared" si="12"/>
        <v/>
      </c>
    </row>
    <row r="748" spans="3:3" x14ac:dyDescent="0.3">
      <c r="C748" s="64" t="str">
        <f t="shared" si="12"/>
        <v/>
      </c>
    </row>
    <row r="749" spans="3:3" x14ac:dyDescent="0.3">
      <c r="C749" s="64" t="str">
        <f t="shared" si="12"/>
        <v/>
      </c>
    </row>
    <row r="750" spans="3:3" x14ac:dyDescent="0.3">
      <c r="C750" s="64" t="str">
        <f t="shared" si="12"/>
        <v/>
      </c>
    </row>
    <row r="751" spans="3:3" x14ac:dyDescent="0.3">
      <c r="C751" s="64" t="str">
        <f t="shared" si="12"/>
        <v/>
      </c>
    </row>
    <row r="752" spans="3:3" x14ac:dyDescent="0.3">
      <c r="C752" s="64" t="str">
        <f t="shared" si="12"/>
        <v/>
      </c>
    </row>
    <row r="753" spans="3:3" x14ac:dyDescent="0.3">
      <c r="C753" s="64" t="str">
        <f t="shared" si="12"/>
        <v/>
      </c>
    </row>
    <row r="754" spans="3:3" x14ac:dyDescent="0.3">
      <c r="C754" s="64" t="str">
        <f t="shared" si="12"/>
        <v/>
      </c>
    </row>
    <row r="755" spans="3:3" x14ac:dyDescent="0.3">
      <c r="C755" s="64" t="str">
        <f t="shared" si="12"/>
        <v/>
      </c>
    </row>
    <row r="756" spans="3:3" x14ac:dyDescent="0.3">
      <c r="C756" s="64" t="str">
        <f t="shared" si="12"/>
        <v/>
      </c>
    </row>
    <row r="757" spans="3:3" x14ac:dyDescent="0.3">
      <c r="C757" s="64" t="str">
        <f t="shared" si="12"/>
        <v/>
      </c>
    </row>
    <row r="758" spans="3:3" x14ac:dyDescent="0.3">
      <c r="C758" s="64" t="str">
        <f t="shared" si="12"/>
        <v/>
      </c>
    </row>
    <row r="759" spans="3:3" x14ac:dyDescent="0.3">
      <c r="C759" s="64" t="str">
        <f t="shared" si="12"/>
        <v/>
      </c>
    </row>
    <row r="760" spans="3:3" x14ac:dyDescent="0.3">
      <c r="C760" s="64" t="str">
        <f t="shared" si="12"/>
        <v/>
      </c>
    </row>
    <row r="761" spans="3:3" x14ac:dyDescent="0.3">
      <c r="C761" s="64" t="str">
        <f t="shared" si="12"/>
        <v/>
      </c>
    </row>
    <row r="762" spans="3:3" x14ac:dyDescent="0.3">
      <c r="C762" s="64" t="str">
        <f t="shared" si="12"/>
        <v/>
      </c>
    </row>
    <row r="763" spans="3:3" x14ac:dyDescent="0.3">
      <c r="C763" s="64" t="str">
        <f t="shared" si="12"/>
        <v/>
      </c>
    </row>
    <row r="764" spans="3:3" x14ac:dyDescent="0.3">
      <c r="C764" s="64" t="str">
        <f t="shared" si="12"/>
        <v/>
      </c>
    </row>
    <row r="765" spans="3:3" x14ac:dyDescent="0.3">
      <c r="C765" s="64" t="str">
        <f t="shared" si="12"/>
        <v/>
      </c>
    </row>
    <row r="766" spans="3:3" x14ac:dyDescent="0.3">
      <c r="C766" s="64" t="str">
        <f t="shared" si="12"/>
        <v/>
      </c>
    </row>
    <row r="767" spans="3:3" x14ac:dyDescent="0.3">
      <c r="C767" s="64" t="str">
        <f t="shared" si="12"/>
        <v/>
      </c>
    </row>
    <row r="768" spans="3:3" x14ac:dyDescent="0.3">
      <c r="C768" s="64" t="str">
        <f t="shared" si="12"/>
        <v/>
      </c>
    </row>
    <row r="769" spans="3:3" x14ac:dyDescent="0.3">
      <c r="C769" s="64" t="str">
        <f t="shared" si="12"/>
        <v/>
      </c>
    </row>
    <row r="770" spans="3:3" x14ac:dyDescent="0.3">
      <c r="C770" s="64" t="str">
        <f t="shared" si="12"/>
        <v/>
      </c>
    </row>
    <row r="771" spans="3:3" x14ac:dyDescent="0.3">
      <c r="C771" s="64" t="str">
        <f t="shared" si="12"/>
        <v/>
      </c>
    </row>
    <row r="772" spans="3:3" x14ac:dyDescent="0.3">
      <c r="C772" s="64" t="str">
        <f t="shared" si="12"/>
        <v/>
      </c>
    </row>
    <row r="773" spans="3:3" x14ac:dyDescent="0.3">
      <c r="C773" s="64" t="str">
        <f t="shared" si="12"/>
        <v/>
      </c>
    </row>
    <row r="774" spans="3:3" x14ac:dyDescent="0.3">
      <c r="C774" s="64" t="str">
        <f t="shared" si="12"/>
        <v/>
      </c>
    </row>
    <row r="775" spans="3:3" x14ac:dyDescent="0.3">
      <c r="C775" s="64" t="str">
        <f t="shared" si="12"/>
        <v/>
      </c>
    </row>
    <row r="776" spans="3:3" x14ac:dyDescent="0.3">
      <c r="C776" s="64" t="str">
        <f t="shared" si="12"/>
        <v/>
      </c>
    </row>
    <row r="777" spans="3:3" x14ac:dyDescent="0.3">
      <c r="C777" s="64" t="str">
        <f t="shared" si="12"/>
        <v/>
      </c>
    </row>
    <row r="778" spans="3:3" x14ac:dyDescent="0.3">
      <c r="C778" s="64" t="str">
        <f t="shared" si="12"/>
        <v/>
      </c>
    </row>
    <row r="779" spans="3:3" x14ac:dyDescent="0.3">
      <c r="C779" s="64" t="str">
        <f t="shared" si="12"/>
        <v/>
      </c>
    </row>
    <row r="780" spans="3:3" x14ac:dyDescent="0.3">
      <c r="C780" s="64" t="str">
        <f t="shared" si="12"/>
        <v/>
      </c>
    </row>
    <row r="781" spans="3:3" x14ac:dyDescent="0.3">
      <c r="C781" s="64" t="str">
        <f t="shared" si="12"/>
        <v/>
      </c>
    </row>
    <row r="782" spans="3:3" x14ac:dyDescent="0.3">
      <c r="C782" s="64" t="str">
        <f t="shared" si="12"/>
        <v/>
      </c>
    </row>
    <row r="783" spans="3:3" x14ac:dyDescent="0.3">
      <c r="C783" s="64" t="str">
        <f t="shared" si="12"/>
        <v/>
      </c>
    </row>
    <row r="784" spans="3:3" x14ac:dyDescent="0.3">
      <c r="C784" s="64" t="str">
        <f t="shared" si="12"/>
        <v/>
      </c>
    </row>
    <row r="785" spans="3:3" x14ac:dyDescent="0.3">
      <c r="C785" s="64" t="str">
        <f t="shared" si="12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">
    <cfRule type="cellIs" dxfId="1" priority="3" operator="equal">
      <formula>0</formula>
    </cfRule>
    <cfRule type="cellIs" dxfId="0" priority="4" operator="notEqual">
      <formula>0</formula>
    </cfRule>
  </conditionalFormatting>
  <dataValidations count="4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'Receita Líquida'!$B$2:$M$2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48" t="str">
        <f>PROPER(TEXT("01/01","MMMM"))</f>
        <v>Janeiro</v>
      </c>
      <c r="C2" s="48" t="str">
        <f>PROPER(TEXT("01/02","MMMM"))</f>
        <v>Fevereiro</v>
      </c>
      <c r="D2" s="48" t="str">
        <f>PROPER(TEXT("01/03","MMMM"))</f>
        <v>Março</v>
      </c>
      <c r="E2" s="48" t="str">
        <f>PROPER(TEXT("01/04","MMMM"))</f>
        <v>Abril</v>
      </c>
      <c r="F2" s="48" t="str">
        <f>PROPER(TEXT("01/05","MMMM"))</f>
        <v>Maio</v>
      </c>
      <c r="G2" s="48" t="str">
        <f>PROPER(TEXT("01/06","MMMM"))</f>
        <v>Junho</v>
      </c>
      <c r="H2" s="48" t="str">
        <f>PROPER(TEXT("01/07","MMMM"))</f>
        <v>Julho</v>
      </c>
      <c r="I2" s="48" t="str">
        <f>PROPER(TEXT("01/08","MMMM"))</f>
        <v>Agosto</v>
      </c>
      <c r="J2" s="48" t="str">
        <f>PROPER(TEXT("01/09","MMMM"))</f>
        <v>Setembro</v>
      </c>
      <c r="K2" s="48" t="str">
        <f>PROPER(TEXT("01/10","MMMM"))</f>
        <v>Outubro</v>
      </c>
      <c r="L2" s="48" t="str">
        <f>PROPER(TEXT("01/11","MMMM"))</f>
        <v>Novembro</v>
      </c>
      <c r="M2" s="48" t="str">
        <f>PROPER(TEXT("01/12","MMMM"))</f>
        <v>Dezembro</v>
      </c>
    </row>
    <row r="3" spans="1:13" ht="14.3" customHeight="1" x14ac:dyDescent="0.3">
      <c r="A3" s="47" t="s">
        <v>26</v>
      </c>
      <c r="B3" s="2">
        <f>SUMIFS(Tabela1[Valor],Tabela1[Mês],B$2,Tabela1[Categoria],$A3)</f>
        <v>150</v>
      </c>
      <c r="C3" s="2">
        <f>SUMIFS(Tabela1[Valor],Tabela1[Mês],C$2,Tabela1[Categoria],$A3)</f>
        <v>0</v>
      </c>
      <c r="D3" s="2">
        <f>SUMIFS(Tabela1[Valor],Tabela1[Mês],D$2,Tabela1[Categoria],$A3)</f>
        <v>0</v>
      </c>
      <c r="E3" s="2">
        <f>SUMIFS(Tabela1[Valor],Tabela1[Mês],E$2,Tabela1[Categoria],$A3)</f>
        <v>0</v>
      </c>
      <c r="F3" s="2">
        <f>SUMIFS(Tabela1[Valor],Tabela1[Mês],F$2,Tabela1[Categoria],$A3)</f>
        <v>0</v>
      </c>
      <c r="G3" s="2">
        <f>SUMIFS(Tabela1[Valor],Tabela1[Mês],G$2,Tabela1[Categoria],$A3)</f>
        <v>0</v>
      </c>
      <c r="H3" s="2">
        <f>SUMIFS(Tabela1[Valor],Tabela1[Mês],H$2,Tabela1[Categoria],$A3)</f>
        <v>0</v>
      </c>
      <c r="I3" s="2">
        <f>SUMIFS(Tabela1[Valor],Tabela1[Mês],I$2,Tabela1[Categoria],$A3)</f>
        <v>0</v>
      </c>
      <c r="J3" s="2">
        <f>SUMIFS(Tabela1[Valor],Tabela1[Mês],J$2,Tabela1[Categoria],$A3)</f>
        <v>0</v>
      </c>
      <c r="K3" s="2">
        <f>SUMIFS(Tabela1[Valor],Tabela1[Mês],K$2,Tabela1[Categoria],$A3)</f>
        <v>0</v>
      </c>
      <c r="L3" s="2">
        <f>SUMIFS(Tabela1[Valor],Tabela1[Mês],L$2,Tabela1[Categoria],$A3)</f>
        <v>0</v>
      </c>
      <c r="M3" s="2">
        <f>SUMIFS(Tabela1[Valor],Tabela1[Mês],M$2,Tabela1[Categoria],$A3)</f>
        <v>0</v>
      </c>
    </row>
    <row r="4" spans="1:13" ht="14.3" customHeight="1" x14ac:dyDescent="0.3">
      <c r="A4" s="47" t="s">
        <v>36</v>
      </c>
      <c r="B4" s="2">
        <f>SUMIFS(Tabela1[Valor],Tabela1[Mês],B$2,Tabela1[Categoria],$A4)</f>
        <v>0</v>
      </c>
      <c r="C4" s="2">
        <f>SUMIFS(Tabela1[Valor],Tabela1[Mês],C$2,Tabela1[Categoria],$A4)</f>
        <v>0</v>
      </c>
      <c r="D4" s="2">
        <f>SUMIFS(Tabela1[Valor],Tabela1[Mês],D$2,Tabela1[Categoria],$A4)</f>
        <v>0</v>
      </c>
      <c r="E4" s="2">
        <f>SUMIFS(Tabela1[Valor],Tabela1[Mês],E$2,Tabela1[Categoria],$A4)</f>
        <v>0</v>
      </c>
      <c r="F4" s="2">
        <f>SUMIFS(Tabela1[Valor],Tabela1[Mês],F$2,Tabela1[Categoria],$A4)</f>
        <v>0</v>
      </c>
      <c r="G4" s="2">
        <f>SUMIFS(Tabela1[Valor],Tabela1[Mês],G$2,Tabela1[Categoria],$A4)</f>
        <v>0</v>
      </c>
      <c r="H4" s="2">
        <f>SUMIFS(Tabela1[Valor],Tabela1[Mês],H$2,Tabela1[Categoria],$A4)</f>
        <v>0</v>
      </c>
      <c r="I4" s="2">
        <f>SUMIFS(Tabela1[Valor],Tabela1[Mês],I$2,Tabela1[Categoria],$A4)</f>
        <v>0</v>
      </c>
      <c r="J4" s="2">
        <f>SUMIFS(Tabela1[Valor],Tabela1[Mês],J$2,Tabela1[Categoria],$A4)</f>
        <v>0</v>
      </c>
      <c r="K4" s="2">
        <f>SUMIFS(Tabela1[Valor],Tabela1[Mês],K$2,Tabela1[Categoria],$A4)</f>
        <v>0</v>
      </c>
      <c r="L4" s="2">
        <f>SUMIFS(Tabela1[Valor],Tabela1[Mês],L$2,Tabela1[Categoria],$A4)</f>
        <v>0</v>
      </c>
      <c r="M4" s="2">
        <f>SUMIFS(Tabela1[Valor],Tabela1[Mês],M$2,Tabela1[Categoria],$A4)</f>
        <v>0</v>
      </c>
    </row>
    <row r="5" spans="1:13" ht="14.3" customHeight="1" x14ac:dyDescent="0.3">
      <c r="A5" s="47" t="s">
        <v>50</v>
      </c>
      <c r="B5" s="2">
        <f>SUMIFS(Tabela1[Valor],Tabela1[Mês],B$2,Tabela1[Categoria],$A5)</f>
        <v>0</v>
      </c>
      <c r="C5" s="2">
        <f>SUMIFS(Tabela1[Valor],Tabela1[Mês],C$2,Tabela1[Categoria],$A5)</f>
        <v>0</v>
      </c>
      <c r="D5" s="2">
        <f>SUMIFS(Tabela1[Valor],Tabela1[Mês],D$2,Tabela1[Categoria],$A5)</f>
        <v>0</v>
      </c>
      <c r="E5" s="2">
        <f>SUMIFS(Tabela1[Valor],Tabela1[Mês],E$2,Tabela1[Categoria],$A5)</f>
        <v>0</v>
      </c>
      <c r="F5" s="2">
        <f>SUMIFS(Tabela1[Valor],Tabela1[Mês],F$2,Tabela1[Categoria],$A5)</f>
        <v>0</v>
      </c>
      <c r="G5" s="2">
        <f>SUMIFS(Tabela1[Valor],Tabela1[Mês],G$2,Tabela1[Categoria],$A5)</f>
        <v>0</v>
      </c>
      <c r="H5" s="2">
        <f>SUMIFS(Tabela1[Valor],Tabela1[Mês],H$2,Tabela1[Categoria],$A5)</f>
        <v>0</v>
      </c>
      <c r="I5" s="2">
        <f>SUMIFS(Tabela1[Valor],Tabela1[Mês],I$2,Tabela1[Categoria],$A5)</f>
        <v>0</v>
      </c>
      <c r="J5" s="2">
        <f>SUMIFS(Tabela1[Valor],Tabela1[Mês],J$2,Tabela1[Categoria],$A5)</f>
        <v>0</v>
      </c>
      <c r="K5" s="2">
        <f>SUMIFS(Tabela1[Valor],Tabela1[Mês],K$2,Tabela1[Categoria],$A5)</f>
        <v>0</v>
      </c>
      <c r="L5" s="2">
        <f>SUMIFS(Tabela1[Valor],Tabela1[Mês],L$2,Tabela1[Categoria],$A5)</f>
        <v>0</v>
      </c>
      <c r="M5" s="2">
        <f>SUMIFS(Tabela1[Valor],Tabela1[Mês],M$2,Tabela1[Categoria],$A5)</f>
        <v>0</v>
      </c>
    </row>
    <row r="6" spans="1:13" ht="14.3" customHeight="1" x14ac:dyDescent="0.3">
      <c r="A6" s="47" t="s">
        <v>49</v>
      </c>
      <c r="B6" s="2">
        <f>SUMIFS(Tabela1[Valor],Tabela1[Mês],B$2,Tabela1[Categoria],$A6)</f>
        <v>0</v>
      </c>
      <c r="C6" s="2">
        <f>SUMIFS(Tabela1[Valor],Tabela1[Mês],C$2,Tabela1[Categoria],$A6)</f>
        <v>0</v>
      </c>
      <c r="D6" s="2">
        <f>SUMIFS(Tabela1[Valor],Tabela1[Mês],D$2,Tabela1[Categoria],$A6)</f>
        <v>0</v>
      </c>
      <c r="E6" s="2">
        <f>SUMIFS(Tabela1[Valor],Tabela1[Mês],E$2,Tabela1[Categoria],$A6)</f>
        <v>0</v>
      </c>
      <c r="F6" s="2">
        <f>SUMIFS(Tabela1[Valor],Tabela1[Mês],F$2,Tabela1[Categoria],$A6)</f>
        <v>0</v>
      </c>
      <c r="G6" s="2">
        <f>SUMIFS(Tabela1[Valor],Tabela1[Mês],G$2,Tabela1[Categoria],$A6)</f>
        <v>0</v>
      </c>
      <c r="H6" s="2">
        <f>SUMIFS(Tabela1[Valor],Tabela1[Mês],H$2,Tabela1[Categoria],$A6)</f>
        <v>0</v>
      </c>
      <c r="I6" s="2">
        <f>SUMIFS(Tabela1[Valor],Tabela1[Mês],I$2,Tabela1[Categoria],$A6)</f>
        <v>0</v>
      </c>
      <c r="J6" s="2">
        <f>SUMIFS(Tabela1[Valor],Tabela1[Mês],J$2,Tabela1[Categoria],$A6)</f>
        <v>0</v>
      </c>
      <c r="K6" s="2">
        <f>SUMIFS(Tabela1[Valor],Tabela1[Mês],K$2,Tabela1[Categoria],$A6)</f>
        <v>0</v>
      </c>
      <c r="L6" s="2">
        <f>SUMIFS(Tabela1[Valor],Tabela1[Mês],L$2,Tabela1[Categoria],$A6)</f>
        <v>0</v>
      </c>
      <c r="M6" s="2">
        <f>SUMIFS(Tabela1[Valor],Tabela1[Mês],M$2,Tabela1[Categoria],$A6)</f>
        <v>0</v>
      </c>
    </row>
    <row r="7" spans="1:13" ht="14.3" customHeight="1" x14ac:dyDescent="0.3">
      <c r="A7" s="47" t="s">
        <v>46</v>
      </c>
      <c r="B7" s="2">
        <f>SUMIFS(Tabela1[Valor],Tabela1[Mês],B$2,Tabela1[Categoria],$A7)</f>
        <v>0</v>
      </c>
      <c r="C7" s="2">
        <f>SUMIFS(Tabela1[Valor],Tabela1[Mês],C$2,Tabela1[Categoria],$A7)</f>
        <v>0</v>
      </c>
      <c r="D7" s="2">
        <f>SUMIFS(Tabela1[Valor],Tabela1[Mês],D$2,Tabela1[Categoria],$A7)</f>
        <v>0</v>
      </c>
      <c r="E7" s="2">
        <f>SUMIFS(Tabela1[Valor],Tabela1[Mês],E$2,Tabela1[Categoria],$A7)</f>
        <v>0</v>
      </c>
      <c r="F7" s="2">
        <f>SUMIFS(Tabela1[Valor],Tabela1[Mês],F$2,Tabela1[Categoria],$A7)</f>
        <v>0</v>
      </c>
      <c r="G7" s="2">
        <f>SUMIFS(Tabela1[Valor],Tabela1[Mês],G$2,Tabela1[Categoria],$A7)</f>
        <v>0</v>
      </c>
      <c r="H7" s="2">
        <f>SUMIFS(Tabela1[Valor],Tabela1[Mês],H$2,Tabela1[Categoria],$A7)</f>
        <v>0</v>
      </c>
      <c r="I7" s="2">
        <f>SUMIFS(Tabela1[Valor],Tabela1[Mês],I$2,Tabela1[Categoria],$A7)</f>
        <v>0</v>
      </c>
      <c r="J7" s="2">
        <f>SUMIFS(Tabela1[Valor],Tabela1[Mês],J$2,Tabela1[Categoria],$A7)</f>
        <v>0</v>
      </c>
      <c r="K7" s="2">
        <f>SUMIFS(Tabela1[Valor],Tabela1[Mês],K$2,Tabela1[Categoria],$A7)</f>
        <v>0</v>
      </c>
      <c r="L7" s="2">
        <f>SUMIFS(Tabela1[Valor],Tabela1[Mês],L$2,Tabela1[Categoria],$A7)</f>
        <v>0</v>
      </c>
      <c r="M7" s="2">
        <f>SUMIFS(Tabela1[Valor],Tabela1[Mês],M$2,Tabela1[Categoria],$A7)</f>
        <v>0</v>
      </c>
    </row>
    <row r="8" spans="1:13" ht="14.3" customHeight="1" x14ac:dyDescent="0.3">
      <c r="A8" s="47" t="s">
        <v>37</v>
      </c>
      <c r="B8" s="2">
        <f>SUMIFS(Tabela1[Valor],Tabela1[Mês],B$2,Tabela1[Categoria],$A8)</f>
        <v>0</v>
      </c>
      <c r="C8" s="2">
        <f>SUMIFS(Tabela1[Valor],Tabela1[Mês],C$2,Tabela1[Categoria],$A8)</f>
        <v>0</v>
      </c>
      <c r="D8" s="2">
        <f>SUMIFS(Tabela1[Valor],Tabela1[Mês],D$2,Tabela1[Categoria],$A8)</f>
        <v>0</v>
      </c>
      <c r="E8" s="2">
        <f>SUMIFS(Tabela1[Valor],Tabela1[Mês],E$2,Tabela1[Categoria],$A8)</f>
        <v>0</v>
      </c>
      <c r="F8" s="2">
        <f>SUMIFS(Tabela1[Valor],Tabela1[Mês],F$2,Tabela1[Categoria],$A8)</f>
        <v>0</v>
      </c>
      <c r="G8" s="2">
        <f>SUMIFS(Tabela1[Valor],Tabela1[Mês],G$2,Tabela1[Categoria],$A8)</f>
        <v>0</v>
      </c>
      <c r="H8" s="2">
        <f>SUMIFS(Tabela1[Valor],Tabela1[Mês],H$2,Tabela1[Categoria],$A8)</f>
        <v>0</v>
      </c>
      <c r="I8" s="2">
        <f>SUMIFS(Tabela1[Valor],Tabela1[Mês],I$2,Tabela1[Categoria],$A8)</f>
        <v>0</v>
      </c>
      <c r="J8" s="2">
        <f>SUMIFS(Tabela1[Valor],Tabela1[Mês],J$2,Tabela1[Categoria],$A8)</f>
        <v>0</v>
      </c>
      <c r="K8" s="2">
        <f>SUMIFS(Tabela1[Valor],Tabela1[Mês],K$2,Tabela1[Categoria],$A8)</f>
        <v>0</v>
      </c>
      <c r="L8" s="2">
        <f>SUMIFS(Tabela1[Valor],Tabela1[Mês],L$2,Tabela1[Categoria],$A8)</f>
        <v>0</v>
      </c>
      <c r="M8" s="2">
        <f>SUMIFS(Tabela1[Valor],Tabela1[Mês],M$2,Tabela1[Categoria],$A8)</f>
        <v>0</v>
      </c>
    </row>
    <row r="9" spans="1:13" ht="15.7" customHeight="1" x14ac:dyDescent="0.3">
      <c r="A9" s="47" t="s">
        <v>48</v>
      </c>
      <c r="B9" s="2">
        <f>SUMIFS(Tabela1[Valor],Tabela1[Mês],B$2,Tabela1[Categoria],$A9)</f>
        <v>0</v>
      </c>
      <c r="C9" s="2">
        <f>SUMIFS(Tabela1[Valor],Tabela1[Mês],C$2,Tabela1[Categoria],$A9)</f>
        <v>0</v>
      </c>
      <c r="D9" s="2">
        <f>SUMIFS(Tabela1[Valor],Tabela1[Mês],D$2,Tabela1[Categoria],$A9)</f>
        <v>0</v>
      </c>
      <c r="E9" s="2">
        <f>SUMIFS(Tabela1[Valor],Tabela1[Mês],E$2,Tabela1[Categoria],$A9)</f>
        <v>0</v>
      </c>
      <c r="F9" s="2">
        <f>SUMIFS(Tabela1[Valor],Tabela1[Mês],F$2,Tabela1[Categoria],$A9)</f>
        <v>0</v>
      </c>
      <c r="G9" s="2">
        <f>SUMIFS(Tabela1[Valor],Tabela1[Mês],G$2,Tabela1[Categoria],$A9)</f>
        <v>0</v>
      </c>
      <c r="H9" s="2">
        <f>SUMIFS(Tabela1[Valor],Tabela1[Mês],H$2,Tabela1[Categoria],$A9)</f>
        <v>0</v>
      </c>
      <c r="I9" s="2">
        <f>SUMIFS(Tabela1[Valor],Tabela1[Mês],I$2,Tabela1[Categoria],$A9)</f>
        <v>0</v>
      </c>
      <c r="J9" s="2">
        <f>SUMIFS(Tabela1[Valor],Tabela1[Mês],J$2,Tabela1[Categoria],$A9)</f>
        <v>0</v>
      </c>
      <c r="K9" s="2">
        <f>SUMIFS(Tabela1[Valor],Tabela1[Mês],K$2,Tabela1[Categoria],$A9)</f>
        <v>0</v>
      </c>
      <c r="L9" s="2">
        <f>SUMIFS(Tabela1[Valor],Tabela1[Mês],L$2,Tabela1[Categoria],$A9)</f>
        <v>0</v>
      </c>
      <c r="M9" s="2">
        <f>SUMIFS(Tabela1[Valor],Tabela1[Mês],M$2,Tabela1[Categoria],$A9)</f>
        <v>0</v>
      </c>
    </row>
    <row r="10" spans="1:13" ht="14.3" customHeight="1" x14ac:dyDescent="0.3">
      <c r="A10" s="47" t="s">
        <v>57</v>
      </c>
      <c r="B10" s="2">
        <f>SUMIFS(Tabela1[Valor],Tabela1[Mês],B$2,Tabela1[Categoria],$A10)</f>
        <v>0</v>
      </c>
      <c r="C10" s="2">
        <f>SUMIFS(Tabela1[Valor],Tabela1[Mês],C$2,Tabela1[Categoria],$A10)</f>
        <v>0</v>
      </c>
      <c r="D10" s="2">
        <f>SUMIFS(Tabela1[Valor],Tabela1[Mês],D$2,Tabela1[Categoria],$A10)</f>
        <v>0</v>
      </c>
      <c r="E10" s="2">
        <f>SUMIFS(Tabela1[Valor],Tabela1[Mês],E$2,Tabela1[Categoria],$A10)</f>
        <v>0</v>
      </c>
      <c r="F10" s="2">
        <f>SUMIFS(Tabela1[Valor],Tabela1[Mês],F$2,Tabela1[Categoria],$A10)</f>
        <v>0</v>
      </c>
      <c r="G10" s="2">
        <f>SUMIFS(Tabela1[Valor],Tabela1[Mês],G$2,Tabela1[Categoria],$A10)</f>
        <v>0</v>
      </c>
      <c r="H10" s="2">
        <f>SUMIFS(Tabela1[Valor],Tabela1[Mês],H$2,Tabela1[Categoria],$A10)</f>
        <v>0</v>
      </c>
      <c r="I10" s="2">
        <f>SUMIFS(Tabela1[Valor],Tabela1[Mês],I$2,Tabela1[Categoria],$A10)</f>
        <v>0</v>
      </c>
      <c r="J10" s="2">
        <f>SUMIFS(Tabela1[Valor],Tabela1[Mês],J$2,Tabela1[Categoria],$A10)</f>
        <v>0</v>
      </c>
      <c r="K10" s="2">
        <f>SUMIFS(Tabela1[Valor],Tabela1[Mês],K$2,Tabela1[Categoria],$A10)</f>
        <v>0</v>
      </c>
      <c r="L10" s="2">
        <f>SUMIFS(Tabela1[Valor],Tabela1[Mês],L$2,Tabela1[Categoria],$A10)</f>
        <v>0</v>
      </c>
      <c r="M10" s="2">
        <f>SUMIFS(Tabela1[Valor],Tabela1[Mês],M$2,Tabela1[Categoria],$A10)</f>
        <v>0</v>
      </c>
    </row>
    <row r="11" spans="1:13" ht="14.3" customHeight="1" x14ac:dyDescent="0.3">
      <c r="A11" s="47" t="s">
        <v>51</v>
      </c>
      <c r="B11" s="2">
        <f>SUMIFS(Tabela1[Valor],Tabela1[Mês],B$2,Tabela1[Categoria],$A11)</f>
        <v>0</v>
      </c>
      <c r="C11" s="2">
        <f>SUMIFS(Tabela1[Valor],Tabela1[Mês],C$2,Tabela1[Categoria],$A11)</f>
        <v>0</v>
      </c>
      <c r="D11" s="2">
        <f>SUMIFS(Tabela1[Valor],Tabela1[Mês],D$2,Tabela1[Categoria],$A11)</f>
        <v>0</v>
      </c>
      <c r="E11" s="2">
        <f>SUMIFS(Tabela1[Valor],Tabela1[Mês],E$2,Tabela1[Categoria],$A11)</f>
        <v>0</v>
      </c>
      <c r="F11" s="2">
        <f>SUMIFS(Tabela1[Valor],Tabela1[Mês],F$2,Tabela1[Categoria],$A11)</f>
        <v>0</v>
      </c>
      <c r="G11" s="2">
        <f>SUMIFS(Tabela1[Valor],Tabela1[Mês],G$2,Tabela1[Categoria],$A11)</f>
        <v>0</v>
      </c>
      <c r="H11" s="2">
        <f>SUMIFS(Tabela1[Valor],Tabela1[Mês],H$2,Tabela1[Categoria],$A11)</f>
        <v>0</v>
      </c>
      <c r="I11" s="2">
        <f>SUMIFS(Tabela1[Valor],Tabela1[Mês],I$2,Tabela1[Categoria],$A11)</f>
        <v>0</v>
      </c>
      <c r="J11" s="2">
        <f>SUMIFS(Tabela1[Valor],Tabela1[Mês],J$2,Tabela1[Categoria],$A11)</f>
        <v>0</v>
      </c>
      <c r="K11" s="2">
        <f>SUMIFS(Tabela1[Valor],Tabela1[Mês],K$2,Tabela1[Categoria],$A11)</f>
        <v>0</v>
      </c>
      <c r="L11" s="2">
        <f>SUMIFS(Tabela1[Valor],Tabela1[Mês],L$2,Tabela1[Categoria],$A11)</f>
        <v>0</v>
      </c>
      <c r="M11" s="2">
        <f>SUMIFS(Tabela1[Valor],Tabela1[Mês],M$2,Tabela1[Categoria],$A11)</f>
        <v>0</v>
      </c>
    </row>
    <row r="12" spans="1:13" ht="14.3" customHeight="1" x14ac:dyDescent="0.3">
      <c r="A12" s="47" t="s">
        <v>41</v>
      </c>
      <c r="B12" s="2">
        <f>SUMIFS(Tabela1[Valor],Tabela1[Mês],B$2,Tabela1[Categoria],$A12)</f>
        <v>0</v>
      </c>
      <c r="C12" s="2">
        <f>SUMIFS(Tabela1[Valor],Tabela1[Mês],C$2,Tabela1[Categoria],$A12)</f>
        <v>0</v>
      </c>
      <c r="D12" s="2">
        <f>SUMIFS(Tabela1[Valor],Tabela1[Mês],D$2,Tabela1[Categoria],$A12)</f>
        <v>0</v>
      </c>
      <c r="E12" s="2">
        <f>SUMIFS(Tabela1[Valor],Tabela1[Mês],E$2,Tabela1[Categoria],$A12)</f>
        <v>0</v>
      </c>
      <c r="F12" s="2">
        <f>SUMIFS(Tabela1[Valor],Tabela1[Mês],F$2,Tabela1[Categoria],$A12)</f>
        <v>0</v>
      </c>
      <c r="G12" s="2">
        <f>SUMIFS(Tabela1[Valor],Tabela1[Mês],G$2,Tabela1[Categoria],$A12)</f>
        <v>0</v>
      </c>
      <c r="H12" s="2">
        <f>SUMIFS(Tabela1[Valor],Tabela1[Mês],H$2,Tabela1[Categoria],$A12)</f>
        <v>0</v>
      </c>
      <c r="I12" s="2">
        <f>SUMIFS(Tabela1[Valor],Tabela1[Mês],I$2,Tabela1[Categoria],$A12)</f>
        <v>0</v>
      </c>
      <c r="J12" s="2">
        <f>SUMIFS(Tabela1[Valor],Tabela1[Mês],J$2,Tabela1[Categoria],$A12)</f>
        <v>0</v>
      </c>
      <c r="K12" s="2">
        <f>SUMIFS(Tabela1[Valor],Tabela1[Mês],K$2,Tabela1[Categoria],$A12)</f>
        <v>0</v>
      </c>
      <c r="L12" s="2">
        <f>SUMIFS(Tabela1[Valor],Tabela1[Mês],L$2,Tabela1[Categoria],$A12)</f>
        <v>0</v>
      </c>
      <c r="M12" s="2">
        <f>SUMIFS(Tabela1[Valor],Tabela1[Mês],M$2,Tabela1[Categoria],$A12)</f>
        <v>0</v>
      </c>
    </row>
    <row r="13" spans="1:13" ht="14.3" customHeight="1" x14ac:dyDescent="0.3">
      <c r="A13" s="47" t="s">
        <v>52</v>
      </c>
      <c r="B13" s="2">
        <f>SUMIFS(Tabela1[Valor],Tabela1[Mês],B$2,Tabela1[Categoria],$A13)</f>
        <v>0</v>
      </c>
      <c r="C13" s="2">
        <f>SUMIFS(Tabela1[Valor],Tabela1[Mês],C$2,Tabela1[Categoria],$A13)</f>
        <v>0</v>
      </c>
      <c r="D13" s="2">
        <f>SUMIFS(Tabela1[Valor],Tabela1[Mês],D$2,Tabela1[Categoria],$A13)</f>
        <v>0</v>
      </c>
      <c r="E13" s="2">
        <f>SUMIFS(Tabela1[Valor],Tabela1[Mês],E$2,Tabela1[Categoria],$A13)</f>
        <v>0</v>
      </c>
      <c r="F13" s="2">
        <f>SUMIFS(Tabela1[Valor],Tabela1[Mês],F$2,Tabela1[Categoria],$A13)</f>
        <v>0</v>
      </c>
      <c r="G13" s="2">
        <f>SUMIFS(Tabela1[Valor],Tabela1[Mês],G$2,Tabela1[Categoria],$A13)</f>
        <v>0</v>
      </c>
      <c r="H13" s="2">
        <f>SUMIFS(Tabela1[Valor],Tabela1[Mês],H$2,Tabela1[Categoria],$A13)</f>
        <v>0</v>
      </c>
      <c r="I13" s="2">
        <f>SUMIFS(Tabela1[Valor],Tabela1[Mês],I$2,Tabela1[Categoria],$A13)</f>
        <v>0</v>
      </c>
      <c r="J13" s="2">
        <f>SUMIFS(Tabela1[Valor],Tabela1[Mês],J$2,Tabela1[Categoria],$A13)</f>
        <v>0</v>
      </c>
      <c r="K13" s="2">
        <f>SUMIFS(Tabela1[Valor],Tabela1[Mês],K$2,Tabela1[Categoria],$A13)</f>
        <v>0</v>
      </c>
      <c r="L13" s="2">
        <f>SUMIFS(Tabela1[Valor],Tabela1[Mês],L$2,Tabela1[Categoria],$A13)</f>
        <v>0</v>
      </c>
      <c r="M13" s="2">
        <f>SUMIFS(Tabela1[Valor],Tabela1[Mês],M$2,Tabela1[Categoria],$A13)</f>
        <v>0</v>
      </c>
    </row>
    <row r="14" spans="1:13" ht="14.3" customHeight="1" x14ac:dyDescent="0.3">
      <c r="A14" s="47" t="s">
        <v>53</v>
      </c>
      <c r="B14" s="2">
        <f>SUMIFS(Tabela1[Valor],Tabela1[Mês],B$2,Tabela1[Categoria],$A14)</f>
        <v>0</v>
      </c>
      <c r="C14" s="2">
        <f>SUMIFS(Tabela1[Valor],Tabela1[Mês],C$2,Tabela1[Categoria],$A14)</f>
        <v>0</v>
      </c>
      <c r="D14" s="2">
        <f>SUMIFS(Tabela1[Valor],Tabela1[Mês],D$2,Tabela1[Categoria],$A14)</f>
        <v>0</v>
      </c>
      <c r="E14" s="2">
        <f>SUMIFS(Tabela1[Valor],Tabela1[Mês],E$2,Tabela1[Categoria],$A14)</f>
        <v>0</v>
      </c>
      <c r="F14" s="2">
        <f>SUMIFS(Tabela1[Valor],Tabela1[Mês],F$2,Tabela1[Categoria],$A14)</f>
        <v>0</v>
      </c>
      <c r="G14" s="2">
        <f>SUMIFS(Tabela1[Valor],Tabela1[Mês],G$2,Tabela1[Categoria],$A14)</f>
        <v>0</v>
      </c>
      <c r="H14" s="2">
        <f>SUMIFS(Tabela1[Valor],Tabela1[Mês],H$2,Tabela1[Categoria],$A14)</f>
        <v>0</v>
      </c>
      <c r="I14" s="2">
        <f>SUMIFS(Tabela1[Valor],Tabela1[Mês],I$2,Tabela1[Categoria],$A14)</f>
        <v>0</v>
      </c>
      <c r="J14" s="2">
        <f>SUMIFS(Tabela1[Valor],Tabela1[Mês],J$2,Tabela1[Categoria],$A14)</f>
        <v>0</v>
      </c>
      <c r="K14" s="2">
        <f>SUMIFS(Tabela1[Valor],Tabela1[Mês],K$2,Tabela1[Categoria],$A14)</f>
        <v>0</v>
      </c>
      <c r="L14" s="2">
        <f>SUMIFS(Tabela1[Valor],Tabela1[Mês],L$2,Tabela1[Categoria],$A14)</f>
        <v>0</v>
      </c>
      <c r="M14" s="2">
        <f>SUMIFS(Tabela1[Valor],Tabela1[Mês],M$2,Tabela1[Categoria],$A14)</f>
        <v>0</v>
      </c>
    </row>
    <row r="16" spans="1:13" ht="17.850000000000001" customHeight="1" x14ac:dyDescent="0.3">
      <c r="A16" s="28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7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85546875" style="52" customWidth="1"/>
    <col min="2" max="13" width="15" style="52" customWidth="1"/>
    <col min="14" max="14" width="10.5703125" style="52" bestFit="1" customWidth="1"/>
    <col min="15" max="15" width="12.42578125" style="52" bestFit="1" customWidth="1"/>
    <col min="16" max="17" width="10.5703125" style="52" bestFit="1" customWidth="1"/>
    <col min="18" max="16384" width="9.140625" style="52"/>
  </cols>
  <sheetData>
    <row r="1" spans="1:13" ht="14.3" customHeight="1" x14ac:dyDescent="0.3"/>
    <row r="2" spans="1:13" s="49" customFormat="1" ht="17.850000000000001" customHeight="1" x14ac:dyDescent="0.3">
      <c r="A2" s="52"/>
      <c r="B2" s="48" t="s">
        <v>47</v>
      </c>
      <c r="C2" s="48" t="str">
        <f>PROPER(TEXT("1/02","MMMM"))</f>
        <v>Fevereiro</v>
      </c>
      <c r="D2" s="48" t="str">
        <f>PROPER(TEXT("1/03","MMMM"))</f>
        <v>Março</v>
      </c>
      <c r="E2" s="48" t="str">
        <f>PROPER(TEXT("1/04","MMMM"))</f>
        <v>Abril</v>
      </c>
      <c r="F2" s="48" t="str">
        <f>PROPER(TEXT("1/05","MMMM"))</f>
        <v>Maio</v>
      </c>
      <c r="G2" s="48" t="str">
        <f>PROPER(TEXT("1/06","MMMM"))</f>
        <v>Junho</v>
      </c>
      <c r="H2" s="48" t="str">
        <f>PROPER(TEXT("1/07","MMMM"))</f>
        <v>Julho</v>
      </c>
      <c r="I2" s="48" t="str">
        <f>PROPER(TEXT("1/08","MMMM"))</f>
        <v>Agosto</v>
      </c>
      <c r="J2" s="48" t="str">
        <f>PROPER(TEXT("1/09","MMMM"))</f>
        <v>Setembro</v>
      </c>
      <c r="K2" s="48" t="str">
        <f>PROPER(TEXT("1/10","MMMM"))</f>
        <v>Outubro</v>
      </c>
      <c r="L2" s="48" t="str">
        <f>PROPER(TEXT("1/11","MMMM"))</f>
        <v>Novembro</v>
      </c>
      <c r="M2" s="48" t="str">
        <f>PROPER(TEXT("1/12","MMMM"))</f>
        <v>Dezembro</v>
      </c>
    </row>
    <row r="3" spans="1:13" s="50" customFormat="1" ht="14.3" customHeight="1" x14ac:dyDescent="0.3">
      <c r="A3" s="78" t="s">
        <v>15</v>
      </c>
      <c r="B3" s="2">
        <f>'Receita Líquida'!B16</f>
        <v>150</v>
      </c>
      <c r="C3" s="2">
        <f>'Receita Líquida'!C16</f>
        <v>0</v>
      </c>
      <c r="D3" s="2">
        <f>'Receita Líquida'!D16</f>
        <v>0</v>
      </c>
      <c r="E3" s="2">
        <f>'Receita Líquida'!E16</f>
        <v>0</v>
      </c>
      <c r="F3" s="2">
        <f>'Receita Líquida'!F16</f>
        <v>0</v>
      </c>
      <c r="G3" s="2">
        <f>'Receita Líquida'!G16</f>
        <v>0</v>
      </c>
      <c r="H3" s="2">
        <f>'Receita Líquida'!H16</f>
        <v>0</v>
      </c>
      <c r="I3" s="2">
        <f>'Receita Líquida'!I16</f>
        <v>0</v>
      </c>
      <c r="J3" s="2">
        <f>'Receita Líquida'!J16</f>
        <v>0</v>
      </c>
      <c r="K3" s="2">
        <f>'Receita Líquida'!K16</f>
        <v>0</v>
      </c>
      <c r="L3" s="2">
        <f>'Receita Líquida'!L16</f>
        <v>0</v>
      </c>
      <c r="M3" s="2">
        <f>'Receita Líquida'!M16</f>
        <v>0</v>
      </c>
    </row>
    <row r="4" spans="1:13" ht="14.3" customHeight="1" x14ac:dyDescent="0.3">
      <c r="A4" s="78" t="s">
        <v>4</v>
      </c>
      <c r="B4" s="51">
        <f>B3-(SUM(B7:B18))</f>
        <v>150</v>
      </c>
      <c r="C4" s="51">
        <f t="shared" ref="C4:L4" si="0">C3-(SUM(C7:C18))+B4</f>
        <v>150</v>
      </c>
      <c r="D4" s="51">
        <f t="shared" si="0"/>
        <v>150</v>
      </c>
      <c r="E4" s="51">
        <f t="shared" si="0"/>
        <v>150</v>
      </c>
      <c r="F4" s="51">
        <f t="shared" si="0"/>
        <v>150</v>
      </c>
      <c r="G4" s="51">
        <f t="shared" si="0"/>
        <v>150</v>
      </c>
      <c r="H4" s="51">
        <f t="shared" si="0"/>
        <v>150</v>
      </c>
      <c r="I4" s="51">
        <f t="shared" si="0"/>
        <v>150</v>
      </c>
      <c r="J4" s="51">
        <f t="shared" si="0"/>
        <v>150</v>
      </c>
      <c r="K4" s="51">
        <f t="shared" si="0"/>
        <v>150</v>
      </c>
      <c r="L4" s="51">
        <f t="shared" si="0"/>
        <v>150</v>
      </c>
      <c r="M4" s="51">
        <f>M3-SUM(M7:M18)+L4</f>
        <v>150</v>
      </c>
    </row>
    <row r="5" spans="1:13" ht="15" customHeight="1" x14ac:dyDescent="0.3">
      <c r="A5" s="46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</row>
    <row r="6" spans="1:13" ht="14.3" customHeight="1" x14ac:dyDescent="0.3">
      <c r="A6" s="79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4.3" customHeight="1" x14ac:dyDescent="0.3">
      <c r="A7" s="27" t="s">
        <v>21</v>
      </c>
      <c r="B7" s="2">
        <f>SUMIFS(Tabela1[Valor],Tabela1[Mês],'Despesas Gerais'!B$2,Tabela1[Categoria],'Despesas Gerais'!$A7)</f>
        <v>0</v>
      </c>
      <c r="C7" s="2">
        <f>SUMIFS(Tabela1[Valor],Tabela1[Mês],'Despesas Gerais'!C$2,Tabela1[Categoria],'Despesas Gerais'!$A7)</f>
        <v>0</v>
      </c>
      <c r="D7" s="2">
        <f>SUMIFS(Tabela1[Valor],Tabela1[Mês],'Despesas Gerais'!D$2,Tabela1[Categoria],'Despesas Gerais'!$A7)</f>
        <v>0</v>
      </c>
      <c r="E7" s="2">
        <f>SUMIFS(Tabela1[Valor],Tabela1[Mês],'Despesas Gerais'!E$2,Tabela1[Categoria],'Despesas Gerais'!$A7)</f>
        <v>0</v>
      </c>
      <c r="F7" s="2">
        <f>SUMIFS(Tabela1[Valor],Tabela1[Mês],'Despesas Gerais'!F$2,Tabela1[Categoria],'Despesas Gerais'!$A7)</f>
        <v>0</v>
      </c>
      <c r="G7" s="2">
        <f>SUMIFS(Tabela1[Valor],Tabela1[Mês],'Despesas Gerais'!G$2,Tabela1[Categoria],'Despesas Gerais'!$A7)</f>
        <v>0</v>
      </c>
      <c r="H7" s="2">
        <f>SUMIFS(Tabela1[Valor],Tabela1[Mês],'Despesas Gerais'!H$2,Tabela1[Categoria],'Despesas Gerais'!$A7)</f>
        <v>0</v>
      </c>
      <c r="I7" s="2">
        <f>SUMIFS(Tabela1[Valor],Tabela1[Mês],'Despesas Gerais'!I$2,Tabela1[Categoria],'Despesas Gerais'!$A7)</f>
        <v>0</v>
      </c>
      <c r="J7" s="2">
        <f>SUMIFS(Tabela1[Valor],Tabela1[Mês],'Despesas Gerais'!J$2,Tabela1[Categoria],'Despesas Gerais'!$A7)</f>
        <v>0</v>
      </c>
      <c r="K7" s="2">
        <f>SUMIFS(Tabela1[Valor],Tabela1[Mês],'Despesas Gerais'!K$2,Tabela1[Categoria],'Despesas Gerais'!$A7)</f>
        <v>0</v>
      </c>
      <c r="L7" s="2">
        <f>SUMIFS(Tabela1[Valor],Tabela1[Mês],'Despesas Gerais'!L$2,Tabela1[Categoria],'Despesas Gerais'!$A7)</f>
        <v>0</v>
      </c>
      <c r="M7" s="2">
        <f>SUMIFS(Tabela1[Valor],Tabela1[Mês],'Despesas Gerais'!M$2,Tabela1[Categoria],'Despesas Gerais'!$A7)</f>
        <v>0</v>
      </c>
    </row>
    <row r="8" spans="1:13" ht="14.3" customHeight="1" x14ac:dyDescent="0.3">
      <c r="A8" s="27" t="s">
        <v>62</v>
      </c>
      <c r="B8" s="2">
        <f>SUMIFS(Tabela1[Valor],Tabela1[Mês],'Despesas Gerais'!B$2,Tabela1[Categoria],'Despesas Gerais'!$A8)</f>
        <v>0</v>
      </c>
      <c r="C8" s="2">
        <f>SUMIFS(Tabela1[Valor],Tabela1[Mês],'Despesas Gerais'!C$2,Tabela1[Categoria],'Despesas Gerais'!$A8)</f>
        <v>0</v>
      </c>
      <c r="D8" s="2">
        <f>SUMIFS(Tabela1[Valor],Tabela1[Mês],'Despesas Gerais'!D$2,Tabela1[Categoria],'Despesas Gerais'!$A8)</f>
        <v>0</v>
      </c>
      <c r="E8" s="2">
        <f>SUMIFS(Tabela1[Valor],Tabela1[Mês],'Despesas Gerais'!E$2,Tabela1[Categoria],'Despesas Gerais'!$A8)</f>
        <v>0</v>
      </c>
      <c r="F8" s="2">
        <f>SUMIFS(Tabela1[Valor],Tabela1[Mês],'Despesas Gerais'!F$2,Tabela1[Categoria],'Despesas Gerais'!$A8)</f>
        <v>0</v>
      </c>
      <c r="G8" s="2">
        <f>SUMIFS(Tabela1[Valor],Tabela1[Mês],'Despesas Gerais'!G$2,Tabela1[Categoria],'Despesas Gerais'!$A8)</f>
        <v>0</v>
      </c>
      <c r="H8" s="2">
        <f>SUMIFS(Tabela1[Valor],Tabela1[Mês],'Despesas Gerais'!H$2,Tabela1[Categoria],'Despesas Gerais'!$A8)</f>
        <v>0</v>
      </c>
      <c r="I8" s="2">
        <f>SUMIFS(Tabela1[Valor],Tabela1[Mês],'Despesas Gerais'!I$2,Tabela1[Categoria],'Despesas Gerais'!$A8)</f>
        <v>0</v>
      </c>
      <c r="J8" s="2">
        <f>SUMIFS(Tabela1[Valor],Tabela1[Mês],'Despesas Gerais'!J$2,Tabela1[Categoria],'Despesas Gerais'!$A8)</f>
        <v>0</v>
      </c>
      <c r="K8" s="2">
        <f>SUMIFS(Tabela1[Valor],Tabela1[Mês],'Despesas Gerais'!K$2,Tabela1[Categoria],'Despesas Gerais'!$A8)</f>
        <v>0</v>
      </c>
      <c r="L8" s="2">
        <f>SUMIFS(Tabela1[Valor],Tabela1[Mês],'Despesas Gerais'!L$2,Tabela1[Categoria],'Despesas Gerais'!$A8)</f>
        <v>0</v>
      </c>
      <c r="M8" s="2">
        <f>SUMIFS(Tabela1[Valor],Tabela1[Mês],'Despesas Gerais'!M$2,Tabela1[Categoria],'Despesas Gerais'!$A8)</f>
        <v>0</v>
      </c>
    </row>
    <row r="9" spans="1:13" ht="14.3" customHeight="1" x14ac:dyDescent="0.3">
      <c r="A9" s="27" t="s">
        <v>56</v>
      </c>
      <c r="B9" s="2">
        <f>SUMIFS(Tabela1[Valor],Tabela1[Mês],'Despesas Gerais'!B$2,Tabela1[Categoria],'Despesas Gerais'!$A9)</f>
        <v>0</v>
      </c>
      <c r="C9" s="2">
        <f>SUMIFS(Tabela1[Valor],Tabela1[Mês],'Despesas Gerais'!C$2,Tabela1[Categoria],'Despesas Gerais'!$A9)</f>
        <v>0</v>
      </c>
      <c r="D9" s="2">
        <f>SUMIFS(Tabela1[Valor],Tabela1[Mês],'Despesas Gerais'!D$2,Tabela1[Categoria],'Despesas Gerais'!$A9)</f>
        <v>0</v>
      </c>
      <c r="E9" s="2">
        <f>SUMIFS(Tabela1[Valor],Tabela1[Mês],'Despesas Gerais'!E$2,Tabela1[Categoria],'Despesas Gerais'!$A9)</f>
        <v>0</v>
      </c>
      <c r="F9" s="2">
        <f>SUMIFS(Tabela1[Valor],Tabela1[Mês],'Despesas Gerais'!F$2,Tabela1[Categoria],'Despesas Gerais'!$A9)</f>
        <v>0</v>
      </c>
      <c r="G9" s="2">
        <f>SUMIFS(Tabela1[Valor],Tabela1[Mês],'Despesas Gerais'!G$2,Tabela1[Categoria],'Despesas Gerais'!$A9)</f>
        <v>0</v>
      </c>
      <c r="H9" s="2">
        <f>SUMIFS(Tabela1[Valor],Tabela1[Mês],'Despesas Gerais'!H$2,Tabela1[Categoria],'Despesas Gerais'!$A9)</f>
        <v>0</v>
      </c>
      <c r="I9" s="2">
        <f>SUMIFS(Tabela1[Valor],Tabela1[Mês],'Despesas Gerais'!I$2,Tabela1[Categoria],'Despesas Gerais'!$A9)</f>
        <v>0</v>
      </c>
      <c r="J9" s="2">
        <f>SUMIFS(Tabela1[Valor],Tabela1[Mês],'Despesas Gerais'!J$2,Tabela1[Categoria],'Despesas Gerais'!$A9)</f>
        <v>0</v>
      </c>
      <c r="K9" s="2">
        <f>SUMIFS(Tabela1[Valor],Tabela1[Mês],'Despesas Gerais'!K$2,Tabela1[Categoria],'Despesas Gerais'!$A9)</f>
        <v>0</v>
      </c>
      <c r="L9" s="2">
        <f>SUMIFS(Tabela1[Valor],Tabela1[Mês],'Despesas Gerais'!L$2,Tabela1[Categoria],'Despesas Gerais'!$A9)</f>
        <v>0</v>
      </c>
      <c r="M9" s="2">
        <f>SUMIFS(Tabela1[Valor],Tabela1[Mês],'Despesas Gerais'!M$2,Tabela1[Categoria],'Despesas Gerais'!$A9)</f>
        <v>0</v>
      </c>
    </row>
    <row r="10" spans="1:13" ht="14.3" customHeight="1" x14ac:dyDescent="0.3">
      <c r="A10" s="27" t="s">
        <v>64</v>
      </c>
      <c r="B10" s="2">
        <f>SUMIFS(Tabela1[Valor],Tabela1[Mês],'Despesas Gerais'!B$2,Tabela1[Categoria],'Despesas Gerais'!$A10)</f>
        <v>0</v>
      </c>
      <c r="C10" s="2">
        <f>SUMIFS(Tabela1[Valor],Tabela1[Mês],'Despesas Gerais'!C$2,Tabela1[Categoria],'Despesas Gerais'!$A10)</f>
        <v>0</v>
      </c>
      <c r="D10" s="2">
        <f>SUMIFS(Tabela1[Valor],Tabela1[Mês],'Despesas Gerais'!D$2,Tabela1[Categoria],'Despesas Gerais'!$A10)</f>
        <v>0</v>
      </c>
      <c r="E10" s="2">
        <f>SUMIFS(Tabela1[Valor],Tabela1[Mês],'Despesas Gerais'!E$2,Tabela1[Categoria],'Despesas Gerais'!$A10)</f>
        <v>0</v>
      </c>
      <c r="F10" s="2">
        <f>SUMIFS(Tabela1[Valor],Tabela1[Mês],'Despesas Gerais'!F$2,Tabela1[Categoria],'Despesas Gerais'!$A10)</f>
        <v>0</v>
      </c>
      <c r="G10" s="2">
        <f>SUMIFS(Tabela1[Valor],Tabela1[Mês],'Despesas Gerais'!G$2,Tabela1[Categoria],'Despesas Gerais'!$A10)</f>
        <v>0</v>
      </c>
      <c r="H10" s="2">
        <f>SUMIFS(Tabela1[Valor],Tabela1[Mês],'Despesas Gerais'!H$2,Tabela1[Categoria],'Despesas Gerais'!$A10)</f>
        <v>0</v>
      </c>
      <c r="I10" s="2">
        <f>SUMIFS(Tabela1[Valor],Tabela1[Mês],'Despesas Gerais'!I$2,Tabela1[Categoria],'Despesas Gerais'!$A10)</f>
        <v>0</v>
      </c>
      <c r="J10" s="2">
        <f>SUMIFS(Tabela1[Valor],Tabela1[Mês],'Despesas Gerais'!J$2,Tabela1[Categoria],'Despesas Gerais'!$A10)</f>
        <v>0</v>
      </c>
      <c r="K10" s="2">
        <f>SUMIFS(Tabela1[Valor],Tabela1[Mês],'Despesas Gerais'!K$2,Tabela1[Categoria],'Despesas Gerais'!$A10)</f>
        <v>0</v>
      </c>
      <c r="L10" s="2">
        <f>SUMIFS(Tabela1[Valor],Tabela1[Mês],'Despesas Gerais'!L$2,Tabela1[Categoria],'Despesas Gerais'!$A10)</f>
        <v>0</v>
      </c>
      <c r="M10" s="2">
        <f>SUMIFS(Tabela1[Valor],Tabela1[Mês],'Despesas Gerais'!M$2,Tabela1[Categoria],'Despesas Gerais'!$A10)</f>
        <v>0</v>
      </c>
    </row>
    <row r="11" spans="1:13" ht="14.3" customHeight="1" x14ac:dyDescent="0.3">
      <c r="A11" s="27" t="s">
        <v>55</v>
      </c>
      <c r="B11" s="2">
        <f>SUMIFS(Tabela1[Valor],Tabela1[Mês],'Despesas Gerais'!B$2,Tabela1[Categoria],'Despesas Gerais'!$A11)</f>
        <v>0</v>
      </c>
      <c r="C11" s="2">
        <f>SUMIFS(Tabela1[Valor],Tabela1[Mês],'Despesas Gerais'!C$2,Tabela1[Categoria],'Despesas Gerais'!$A11)</f>
        <v>0</v>
      </c>
      <c r="D11" s="2">
        <f>SUMIFS(Tabela1[Valor],Tabela1[Mês],'Despesas Gerais'!D$2,Tabela1[Categoria],'Despesas Gerais'!$A11)</f>
        <v>0</v>
      </c>
      <c r="E11" s="2">
        <f>SUMIFS(Tabela1[Valor],Tabela1[Mês],'Despesas Gerais'!E$2,Tabela1[Categoria],'Despesas Gerais'!$A11)</f>
        <v>0</v>
      </c>
      <c r="F11" s="2">
        <f>SUMIFS(Tabela1[Valor],Tabela1[Mês],'Despesas Gerais'!F$2,Tabela1[Categoria],'Despesas Gerais'!$A11)</f>
        <v>0</v>
      </c>
      <c r="G11" s="2">
        <f>SUMIFS(Tabela1[Valor],Tabela1[Mês],'Despesas Gerais'!G$2,Tabela1[Categoria],'Despesas Gerais'!$A11)</f>
        <v>0</v>
      </c>
      <c r="H11" s="2">
        <f>SUMIFS(Tabela1[Valor],Tabela1[Mês],'Despesas Gerais'!H$2,Tabela1[Categoria],'Despesas Gerais'!$A11)</f>
        <v>0</v>
      </c>
      <c r="I11" s="2">
        <f>SUMIFS(Tabela1[Valor],Tabela1[Mês],'Despesas Gerais'!I$2,Tabela1[Categoria],'Despesas Gerais'!$A11)</f>
        <v>0</v>
      </c>
      <c r="J11" s="2">
        <f>SUMIFS(Tabela1[Valor],Tabela1[Mês],'Despesas Gerais'!J$2,Tabela1[Categoria],'Despesas Gerais'!$A11)</f>
        <v>0</v>
      </c>
      <c r="K11" s="2">
        <f>SUMIFS(Tabela1[Valor],Tabela1[Mês],'Despesas Gerais'!K$2,Tabela1[Categoria],'Despesas Gerais'!$A11)</f>
        <v>0</v>
      </c>
      <c r="L11" s="2">
        <f>SUMIFS(Tabela1[Valor],Tabela1[Mês],'Despesas Gerais'!L$2,Tabela1[Categoria],'Despesas Gerais'!$A11)</f>
        <v>0</v>
      </c>
      <c r="M11" s="2">
        <f>SUMIFS(Tabela1[Valor],Tabela1[Mês],'Despesas Gerais'!M$2,Tabela1[Categoria],'Despesas Gerais'!$A11)</f>
        <v>0</v>
      </c>
    </row>
    <row r="12" spans="1:13" ht="14.3" customHeight="1" x14ac:dyDescent="0.3">
      <c r="A12" s="27" t="s">
        <v>20</v>
      </c>
      <c r="B12" s="2">
        <f>SUMIFS(Tabela1[Valor],Tabela1[Mês],'Despesas Gerais'!B$2,Tabela1[Categoria],'Despesas Gerais'!$A12)</f>
        <v>0</v>
      </c>
      <c r="C12" s="2">
        <f>SUMIFS(Tabela1[Valor],Tabela1[Mês],'Despesas Gerais'!C$2,Tabela1[Categoria],'Despesas Gerais'!$A12)</f>
        <v>0</v>
      </c>
      <c r="D12" s="2">
        <f>SUMIFS(Tabela1[Valor],Tabela1[Mês],'Despesas Gerais'!D$2,Tabela1[Categoria],'Despesas Gerais'!$A12)</f>
        <v>0</v>
      </c>
      <c r="E12" s="2">
        <f>SUMIFS(Tabela1[Valor],Tabela1[Mês],'Despesas Gerais'!E$2,Tabela1[Categoria],'Despesas Gerais'!$A12)</f>
        <v>0</v>
      </c>
      <c r="F12" s="2">
        <f>SUMIFS(Tabela1[Valor],Tabela1[Mês],'Despesas Gerais'!F$2,Tabela1[Categoria],'Despesas Gerais'!$A12)</f>
        <v>0</v>
      </c>
      <c r="G12" s="2">
        <f>SUMIFS(Tabela1[Valor],Tabela1[Mês],'Despesas Gerais'!G$2,Tabela1[Categoria],'Despesas Gerais'!$A12)</f>
        <v>0</v>
      </c>
      <c r="H12" s="2">
        <f>SUMIFS(Tabela1[Valor],Tabela1[Mês],'Despesas Gerais'!H$2,Tabela1[Categoria],'Despesas Gerais'!$A12)</f>
        <v>0</v>
      </c>
      <c r="I12" s="2">
        <f>SUMIFS(Tabela1[Valor],Tabela1[Mês],'Despesas Gerais'!I$2,Tabela1[Categoria],'Despesas Gerais'!$A12)</f>
        <v>0</v>
      </c>
      <c r="J12" s="2">
        <f>SUMIFS(Tabela1[Valor],Tabela1[Mês],'Despesas Gerais'!J$2,Tabela1[Categoria],'Despesas Gerais'!$A12)</f>
        <v>0</v>
      </c>
      <c r="K12" s="2">
        <f>SUMIFS(Tabela1[Valor],Tabela1[Mês],'Despesas Gerais'!K$2,Tabela1[Categoria],'Despesas Gerais'!$A12)</f>
        <v>0</v>
      </c>
      <c r="L12" s="2">
        <f>SUMIFS(Tabela1[Valor],Tabela1[Mês],'Despesas Gerais'!L$2,Tabela1[Categoria],'Despesas Gerais'!$A12)</f>
        <v>0</v>
      </c>
      <c r="M12" s="2">
        <f>SUMIFS(Tabela1[Valor],Tabela1[Mês],'Despesas Gerais'!M$2,Tabela1[Categoria],'Despesas Gerais'!$A12)</f>
        <v>0</v>
      </c>
    </row>
    <row r="13" spans="1:13" ht="14.3" customHeight="1" x14ac:dyDescent="0.3">
      <c r="A13" s="27" t="s">
        <v>54</v>
      </c>
      <c r="B13" s="2">
        <f>SUMIFS(Tabela1[Valor],Tabela1[Mês],'Despesas Gerais'!B$2,Tabela1[Categoria],'Despesas Gerais'!$A13)</f>
        <v>0</v>
      </c>
      <c r="C13" s="2">
        <f>SUMIFS(Tabela1[Valor],Tabela1[Mês],'Despesas Gerais'!C$2,Tabela1[Categoria],'Despesas Gerais'!$A13)</f>
        <v>0</v>
      </c>
      <c r="D13" s="2">
        <f>SUMIFS(Tabela1[Valor],Tabela1[Mês],'Despesas Gerais'!D$2,Tabela1[Categoria],'Despesas Gerais'!$A13)</f>
        <v>0</v>
      </c>
      <c r="E13" s="2">
        <f>SUMIFS(Tabela1[Valor],Tabela1[Mês],'Despesas Gerais'!E$2,Tabela1[Categoria],'Despesas Gerais'!$A13)</f>
        <v>0</v>
      </c>
      <c r="F13" s="2">
        <f>SUMIFS(Tabela1[Valor],Tabela1[Mês],'Despesas Gerais'!F$2,Tabela1[Categoria],'Despesas Gerais'!$A13)</f>
        <v>0</v>
      </c>
      <c r="G13" s="2">
        <f>SUMIFS(Tabela1[Valor],Tabela1[Mês],'Despesas Gerais'!G$2,Tabela1[Categoria],'Despesas Gerais'!$A13)</f>
        <v>0</v>
      </c>
      <c r="H13" s="2">
        <f>SUMIFS(Tabela1[Valor],Tabela1[Mês],'Despesas Gerais'!H$2,Tabela1[Categoria],'Despesas Gerais'!$A13)</f>
        <v>0</v>
      </c>
      <c r="I13" s="2">
        <f>SUMIFS(Tabela1[Valor],Tabela1[Mês],'Despesas Gerais'!I$2,Tabela1[Categoria],'Despesas Gerais'!$A13)</f>
        <v>0</v>
      </c>
      <c r="J13" s="2">
        <f>SUMIFS(Tabela1[Valor],Tabela1[Mês],'Despesas Gerais'!J$2,Tabela1[Categoria],'Despesas Gerais'!$A13)</f>
        <v>0</v>
      </c>
      <c r="K13" s="2">
        <f>SUMIFS(Tabela1[Valor],Tabela1[Mês],'Despesas Gerais'!K$2,Tabela1[Categoria],'Despesas Gerais'!$A13)</f>
        <v>0</v>
      </c>
      <c r="L13" s="2">
        <f>SUMIFS(Tabela1[Valor],Tabela1[Mês],'Despesas Gerais'!L$2,Tabela1[Categoria],'Despesas Gerais'!$A13)</f>
        <v>0</v>
      </c>
      <c r="M13" s="2">
        <f>SUMIFS(Tabela1[Valor],Tabela1[Mês],'Despesas Gerais'!M$2,Tabela1[Categoria],'Despesas Gerais'!$A13)</f>
        <v>0</v>
      </c>
    </row>
    <row r="14" spans="1:13" ht="14.3" customHeight="1" x14ac:dyDescent="0.3">
      <c r="A14" s="27" t="s">
        <v>63</v>
      </c>
      <c r="B14" s="2">
        <f>SUMIFS(Tabela1[Valor],Tabela1[Mês],'Despesas Gerais'!B$2,Tabela1[Categoria],'Despesas Gerais'!$A14)</f>
        <v>0</v>
      </c>
      <c r="C14" s="2">
        <f>SUMIFS(Tabela1[Valor],Tabela1[Mês],'Despesas Gerais'!C$2,Tabela1[Categoria],'Despesas Gerais'!$A14)</f>
        <v>0</v>
      </c>
      <c r="D14" s="2">
        <f>SUMIFS(Tabela1[Valor],Tabela1[Mês],'Despesas Gerais'!D$2,Tabela1[Categoria],'Despesas Gerais'!$A14)</f>
        <v>0</v>
      </c>
      <c r="E14" s="2">
        <f>SUMIFS(Tabela1[Valor],Tabela1[Mês],'Despesas Gerais'!E$2,Tabela1[Categoria],'Despesas Gerais'!$A14)</f>
        <v>0</v>
      </c>
      <c r="F14" s="2">
        <f>SUMIFS(Tabela1[Valor],Tabela1[Mês],'Despesas Gerais'!F$2,Tabela1[Categoria],'Despesas Gerais'!$A14)</f>
        <v>0</v>
      </c>
      <c r="G14" s="2">
        <f>SUMIFS(Tabela1[Valor],Tabela1[Mês],'Despesas Gerais'!G$2,Tabela1[Categoria],'Despesas Gerais'!$A14)</f>
        <v>0</v>
      </c>
      <c r="H14" s="2">
        <f>SUMIFS(Tabela1[Valor],Tabela1[Mês],'Despesas Gerais'!H$2,Tabela1[Categoria],'Despesas Gerais'!$A14)</f>
        <v>0</v>
      </c>
      <c r="I14" s="2">
        <f>SUMIFS(Tabela1[Valor],Tabela1[Mês],'Despesas Gerais'!I$2,Tabela1[Categoria],'Despesas Gerais'!$A14)</f>
        <v>0</v>
      </c>
      <c r="J14" s="2">
        <f>SUMIFS(Tabela1[Valor],Tabela1[Mês],'Despesas Gerais'!J$2,Tabela1[Categoria],'Despesas Gerais'!$A14)</f>
        <v>0</v>
      </c>
      <c r="K14" s="2">
        <f>SUMIFS(Tabela1[Valor],Tabela1[Mês],'Despesas Gerais'!K$2,Tabela1[Categoria],'Despesas Gerais'!$A14)</f>
        <v>0</v>
      </c>
      <c r="L14" s="2">
        <f>SUMIFS(Tabela1[Valor],Tabela1[Mês],'Despesas Gerais'!L$2,Tabela1[Categoria],'Despesas Gerais'!$A14)</f>
        <v>0</v>
      </c>
      <c r="M14" s="2">
        <f>SUMIFS(Tabela1[Valor],Tabela1[Mês],'Despesas Gerais'!M$2,Tabela1[Categoria],'Despesas Gerais'!$A14)</f>
        <v>0</v>
      </c>
    </row>
    <row r="15" spans="1:13" ht="14.3" customHeight="1" x14ac:dyDescent="0.3">
      <c r="A15" s="27" t="s">
        <v>60</v>
      </c>
      <c r="B15" s="2">
        <f>SUMIFS(Tabela1[Valor],Tabela1[Mês],'Despesas Gerais'!B$2,Tabela1[Categoria],'Despesas Gerais'!$A15)</f>
        <v>0</v>
      </c>
      <c r="C15" s="2">
        <f>SUMIFS(Tabela1[Valor],Tabela1[Mês],'Despesas Gerais'!C$2,Tabela1[Categoria],'Despesas Gerais'!$A15)</f>
        <v>0</v>
      </c>
      <c r="D15" s="2">
        <f>SUMIFS(Tabela1[Valor],Tabela1[Mês],'Despesas Gerais'!D$2,Tabela1[Categoria],'Despesas Gerais'!$A15)</f>
        <v>0</v>
      </c>
      <c r="E15" s="2">
        <f>SUMIFS(Tabela1[Valor],Tabela1[Mês],'Despesas Gerais'!E$2,Tabela1[Categoria],'Despesas Gerais'!$A15)</f>
        <v>0</v>
      </c>
      <c r="F15" s="2">
        <f>SUMIFS(Tabela1[Valor],Tabela1[Mês],'Despesas Gerais'!F$2,Tabela1[Categoria],'Despesas Gerais'!$A15)</f>
        <v>0</v>
      </c>
      <c r="G15" s="2">
        <f>SUMIFS(Tabela1[Valor],Tabela1[Mês],'Despesas Gerais'!G$2,Tabela1[Categoria],'Despesas Gerais'!$A15)</f>
        <v>0</v>
      </c>
      <c r="H15" s="2">
        <f>SUMIFS(Tabela1[Valor],Tabela1[Mês],'Despesas Gerais'!H$2,Tabela1[Categoria],'Despesas Gerais'!$A15)</f>
        <v>0</v>
      </c>
      <c r="I15" s="2">
        <f>SUMIFS(Tabela1[Valor],Tabela1[Mês],'Despesas Gerais'!I$2,Tabela1[Categoria],'Despesas Gerais'!$A15)</f>
        <v>0</v>
      </c>
      <c r="J15" s="2">
        <f>SUMIFS(Tabela1[Valor],Tabela1[Mês],'Despesas Gerais'!J$2,Tabela1[Categoria],'Despesas Gerais'!$A15)</f>
        <v>0</v>
      </c>
      <c r="K15" s="2">
        <f>SUMIFS(Tabela1[Valor],Tabela1[Mês],'Despesas Gerais'!K$2,Tabela1[Categoria],'Despesas Gerais'!$A15)</f>
        <v>0</v>
      </c>
      <c r="L15" s="2">
        <f>SUMIFS(Tabela1[Valor],Tabela1[Mês],'Despesas Gerais'!L$2,Tabela1[Categoria],'Despesas Gerais'!$A15)</f>
        <v>0</v>
      </c>
      <c r="M15" s="2">
        <f>SUMIFS(Tabela1[Valor],Tabela1[Mês],'Despesas Gerais'!M$2,Tabela1[Categoria],'Despesas Gerais'!$A15)</f>
        <v>0</v>
      </c>
    </row>
    <row r="16" spans="1:13" ht="14.3" customHeight="1" x14ac:dyDescent="0.3">
      <c r="A16" s="27" t="s">
        <v>61</v>
      </c>
      <c r="B16" s="2">
        <f>SUMIFS(Tabela1[Valor],Tabela1[Mês],'Despesas Gerais'!B$2,Tabela1[Categoria],'Despesas Gerais'!$A16)</f>
        <v>0</v>
      </c>
      <c r="C16" s="2">
        <f>SUMIFS(Tabela1[Valor],Tabela1[Mês],'Despesas Gerais'!C$2,Tabela1[Categoria],'Despesas Gerais'!$A16)</f>
        <v>0</v>
      </c>
      <c r="D16" s="2">
        <f>SUMIFS(Tabela1[Valor],Tabela1[Mês],'Despesas Gerais'!D$2,Tabela1[Categoria],'Despesas Gerais'!$A16)</f>
        <v>0</v>
      </c>
      <c r="E16" s="2">
        <f>SUMIFS(Tabela1[Valor],Tabela1[Mês],'Despesas Gerais'!E$2,Tabela1[Categoria],'Despesas Gerais'!$A16)</f>
        <v>0</v>
      </c>
      <c r="F16" s="2">
        <f>SUMIFS(Tabela1[Valor],Tabela1[Mês],'Despesas Gerais'!F$2,Tabela1[Categoria],'Despesas Gerais'!$A16)</f>
        <v>0</v>
      </c>
      <c r="G16" s="2">
        <f>SUMIFS(Tabela1[Valor],Tabela1[Mês],'Despesas Gerais'!G$2,Tabela1[Categoria],'Despesas Gerais'!$A16)</f>
        <v>0</v>
      </c>
      <c r="H16" s="2">
        <f>SUMIFS(Tabela1[Valor],Tabela1[Mês],'Despesas Gerais'!H$2,Tabela1[Categoria],'Despesas Gerais'!$A16)</f>
        <v>0</v>
      </c>
      <c r="I16" s="2">
        <f>SUMIFS(Tabela1[Valor],Tabela1[Mês],'Despesas Gerais'!I$2,Tabela1[Categoria],'Despesas Gerais'!$A16)</f>
        <v>0</v>
      </c>
      <c r="J16" s="2">
        <f>SUMIFS(Tabela1[Valor],Tabela1[Mês],'Despesas Gerais'!J$2,Tabela1[Categoria],'Despesas Gerais'!$A16)</f>
        <v>0</v>
      </c>
      <c r="K16" s="2">
        <f>SUMIFS(Tabela1[Valor],Tabela1[Mês],'Despesas Gerais'!K$2,Tabela1[Categoria],'Despesas Gerais'!$A16)</f>
        <v>0</v>
      </c>
      <c r="L16" s="2">
        <f>SUMIFS(Tabela1[Valor],Tabela1[Mês],'Despesas Gerais'!L$2,Tabela1[Categoria],'Despesas Gerais'!$A16)</f>
        <v>0</v>
      </c>
      <c r="M16" s="2">
        <f>SUMIFS(Tabela1[Valor],Tabela1[Mês],'Despesas Gerais'!M$2,Tabela1[Categoria],'Despesas Gerais'!$A16)</f>
        <v>0</v>
      </c>
    </row>
    <row r="17" spans="1:14" ht="14.3" customHeight="1" x14ac:dyDescent="0.3">
      <c r="A17" s="27" t="s">
        <v>11</v>
      </c>
      <c r="B17" s="2">
        <f>SUMIFS(Tabela1[Valor],Tabela1[Mês],'Despesas Gerais'!B$2,Tabela1[Categoria],'Despesas Gerais'!$A17)</f>
        <v>0</v>
      </c>
      <c r="C17" s="2">
        <f>SUMIFS(Tabela1[Valor],Tabela1[Mês],'Despesas Gerais'!C$2,Tabela1[Categoria],'Despesas Gerais'!$A17)</f>
        <v>0</v>
      </c>
      <c r="D17" s="2">
        <f>SUMIFS(Tabela1[Valor],Tabela1[Mês],'Despesas Gerais'!D$2,Tabela1[Categoria],'Despesas Gerais'!$A17)</f>
        <v>0</v>
      </c>
      <c r="E17" s="2">
        <f>SUMIFS(Tabela1[Valor],Tabela1[Mês],'Despesas Gerais'!E$2,Tabela1[Categoria],'Despesas Gerais'!$A17)</f>
        <v>0</v>
      </c>
      <c r="F17" s="2">
        <f>SUMIFS(Tabela1[Valor],Tabela1[Mês],'Despesas Gerais'!F$2,Tabela1[Categoria],'Despesas Gerais'!$A17)</f>
        <v>0</v>
      </c>
      <c r="G17" s="2">
        <f>SUMIFS(Tabela1[Valor],Tabela1[Mês],'Despesas Gerais'!G$2,Tabela1[Categoria],'Despesas Gerais'!$A17)</f>
        <v>0</v>
      </c>
      <c r="H17" s="2">
        <f>SUMIFS(Tabela1[Valor],Tabela1[Mês],'Despesas Gerais'!H$2,Tabela1[Categoria],'Despesas Gerais'!$A17)</f>
        <v>0</v>
      </c>
      <c r="I17" s="2">
        <f>SUMIFS(Tabela1[Valor],Tabela1[Mês],'Despesas Gerais'!I$2,Tabela1[Categoria],'Despesas Gerais'!$A17)</f>
        <v>0</v>
      </c>
      <c r="J17" s="2">
        <f>SUMIFS(Tabela1[Valor],Tabela1[Mês],'Despesas Gerais'!J$2,Tabela1[Categoria],'Despesas Gerais'!$A17)</f>
        <v>0</v>
      </c>
      <c r="K17" s="2">
        <f>SUMIFS(Tabela1[Valor],Tabela1[Mês],'Despesas Gerais'!K$2,Tabela1[Categoria],'Despesas Gerais'!$A17)</f>
        <v>0</v>
      </c>
      <c r="L17" s="2">
        <f>SUMIFS(Tabela1[Valor],Tabela1[Mês],'Despesas Gerais'!L$2,Tabela1[Categoria],'Despesas Gerais'!$A17)</f>
        <v>0</v>
      </c>
      <c r="M17" s="2">
        <f>SUMIFS(Tabela1[Valor],Tabela1[Mês],'Despesas Gerais'!M$2,Tabela1[Categoria],'Despesas Gerais'!$A17)</f>
        <v>0</v>
      </c>
    </row>
    <row r="18" spans="1:14" ht="14.3" customHeight="1" x14ac:dyDescent="0.3">
      <c r="A18" s="27" t="s">
        <v>34</v>
      </c>
      <c r="B18" s="2">
        <f>SUMIFS(Tabela1[Valor],Tabela1[Mês],'Despesas Gerais'!B$2,Tabela1[Categoria],'Despesas Gerais'!$A18)</f>
        <v>0</v>
      </c>
      <c r="C18" s="2">
        <f>SUMIFS(Tabela1[Valor],Tabela1[Mês],'Despesas Gerais'!C$2,Tabela1[Categoria],'Despesas Gerais'!$A18)</f>
        <v>0</v>
      </c>
      <c r="D18" s="2">
        <f>SUMIFS(Tabela1[Valor],Tabela1[Mês],'Despesas Gerais'!D$2,Tabela1[Categoria],'Despesas Gerais'!$A18)</f>
        <v>0</v>
      </c>
      <c r="E18" s="2">
        <f>SUMIFS(Tabela1[Valor],Tabela1[Mês],'Despesas Gerais'!E$2,Tabela1[Categoria],'Despesas Gerais'!$A18)</f>
        <v>0</v>
      </c>
      <c r="F18" s="2">
        <f>SUMIFS(Tabela1[Valor],Tabela1[Mês],'Despesas Gerais'!F$2,Tabela1[Categoria],'Despesas Gerais'!$A18)</f>
        <v>0</v>
      </c>
      <c r="G18" s="2">
        <f>SUMIFS(Tabela1[Valor],Tabela1[Mês],'Despesas Gerais'!G$2,Tabela1[Categoria],'Despesas Gerais'!$A18)</f>
        <v>0</v>
      </c>
      <c r="H18" s="2">
        <f>SUMIFS(Tabela1[Valor],Tabela1[Mês],'Despesas Gerais'!H$2,Tabela1[Categoria],'Despesas Gerais'!$A18)</f>
        <v>0</v>
      </c>
      <c r="I18" s="2">
        <f>SUMIFS(Tabela1[Valor],Tabela1[Mês],'Despesas Gerais'!I$2,Tabela1[Categoria],'Despesas Gerais'!$A18)</f>
        <v>0</v>
      </c>
      <c r="J18" s="2">
        <f>SUMIFS(Tabela1[Valor],Tabela1[Mês],'Despesas Gerais'!J$2,Tabela1[Categoria],'Despesas Gerais'!$A18)</f>
        <v>0</v>
      </c>
      <c r="K18" s="2">
        <f>SUMIFS(Tabela1[Valor],Tabela1[Mês],'Despesas Gerais'!K$2,Tabela1[Categoria],'Despesas Gerais'!$A18)</f>
        <v>0</v>
      </c>
      <c r="L18" s="2">
        <f>SUMIFS(Tabela1[Valor],Tabela1[Mês],'Despesas Gerais'!L$2,Tabela1[Categoria],'Despesas Gerais'!$A18)</f>
        <v>0</v>
      </c>
      <c r="M18" s="2">
        <f>SUMIFS(Tabela1[Valor],Tabela1[Mês],'Despesas Gerais'!M$2,Tabela1[Categoria],'Despesas Gerais'!$A18)</f>
        <v>0</v>
      </c>
    </row>
    <row r="19" spans="1:14" ht="15" customHeight="1" x14ac:dyDescent="0.3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</row>
    <row r="20" spans="1:14" s="50" customFormat="1" ht="17.850000000000001" customHeight="1" x14ac:dyDescent="0.3">
      <c r="A20" s="48" t="s">
        <v>2</v>
      </c>
      <c r="B20" s="53">
        <f t="shared" ref="B20:M20" si="1">SUM(B7:B18)</f>
        <v>0</v>
      </c>
      <c r="C20" s="53">
        <f t="shared" si="1"/>
        <v>0</v>
      </c>
      <c r="D20" s="53">
        <f t="shared" si="1"/>
        <v>0</v>
      </c>
      <c r="E20" s="53">
        <f t="shared" si="1"/>
        <v>0</v>
      </c>
      <c r="F20" s="53">
        <f t="shared" si="1"/>
        <v>0</v>
      </c>
      <c r="G20" s="53">
        <f t="shared" si="1"/>
        <v>0</v>
      </c>
      <c r="H20" s="53">
        <f t="shared" si="1"/>
        <v>0</v>
      </c>
      <c r="I20" s="53">
        <f t="shared" si="1"/>
        <v>0</v>
      </c>
      <c r="J20" s="53">
        <f t="shared" si="1"/>
        <v>0</v>
      </c>
      <c r="K20" s="53">
        <f t="shared" si="1"/>
        <v>0</v>
      </c>
      <c r="L20" s="53">
        <f t="shared" si="1"/>
        <v>0</v>
      </c>
      <c r="M20" s="53">
        <f t="shared" si="1"/>
        <v>0</v>
      </c>
      <c r="N20" s="5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60" customWidth="1"/>
    <col min="2" max="3" width="17.140625" style="60" customWidth="1"/>
    <col min="4" max="4" width="4.42578125" style="60" customWidth="1"/>
    <col min="5" max="5" width="10.42578125" style="60" bestFit="1" customWidth="1"/>
    <col min="6" max="6" width="16.28515625" style="60" bestFit="1" customWidth="1"/>
    <col min="7" max="8" width="11.42578125" style="60" customWidth="1"/>
    <col min="9" max="10" width="17.140625" style="60" customWidth="1"/>
    <col min="11" max="13" width="9.140625" style="60"/>
    <col min="14" max="14" width="7.140625" style="60" customWidth="1"/>
    <col min="15" max="16384" width="9.140625" style="60"/>
  </cols>
  <sheetData>
    <row r="2" spans="2:10" x14ac:dyDescent="0.3">
      <c r="B2" s="45" t="s">
        <v>59</v>
      </c>
      <c r="C2" s="45" t="s">
        <v>26</v>
      </c>
      <c r="I2" s="45" t="s">
        <v>1</v>
      </c>
      <c r="J2" s="45" t="s">
        <v>21</v>
      </c>
    </row>
    <row r="3" spans="2:10" x14ac:dyDescent="0.3">
      <c r="B3" s="58" t="s">
        <v>2</v>
      </c>
      <c r="C3" s="59">
        <f>SUM(C6:C17)</f>
        <v>150</v>
      </c>
      <c r="I3" s="58" t="s">
        <v>2</v>
      </c>
      <c r="J3" s="59">
        <f>SUM(J6:J17)</f>
        <v>0</v>
      </c>
    </row>
    <row r="5" spans="2:10" x14ac:dyDescent="0.3">
      <c r="B5" s="60" t="s">
        <v>0</v>
      </c>
      <c r="C5" s="60" t="s">
        <v>25</v>
      </c>
      <c r="I5" s="60" t="s">
        <v>0</v>
      </c>
      <c r="J5" s="61" t="s">
        <v>25</v>
      </c>
    </row>
    <row r="6" spans="2:10" x14ac:dyDescent="0.3">
      <c r="B6" s="60" t="str" cm="1">
        <f t="array" ref="B6:B17">TRANSPOSE(Meses)</f>
        <v>Janeiro</v>
      </c>
      <c r="C6" s="61" cm="1">
        <f t="array" ref="C6:C17">TRANSPOSE(_xlfn._xlws.FILTER('Receita Líquida'!B3:M14,Receita_Líquida='Gráfico Categorias'!C2))</f>
        <v>150</v>
      </c>
      <c r="I6" s="60" t="str" cm="1">
        <f t="array" ref="I6:I17">TRANSPOSE(Meses)</f>
        <v>Janeiro</v>
      </c>
      <c r="J6" s="61" cm="1">
        <f t="array" ref="J6:J17">TRANSPOSE(_xlfn._xlws.FILTER('Despesas Gerais'!B7:M18,Categorias='Gráfico Categorias'!J2))</f>
        <v>0</v>
      </c>
    </row>
    <row r="7" spans="2:10" x14ac:dyDescent="0.3">
      <c r="B7" s="60" t="str">
        <v>Fevereiro</v>
      </c>
      <c r="C7" s="61">
        <v>0</v>
      </c>
      <c r="I7" s="60" t="str">
        <v>Fevereiro</v>
      </c>
      <c r="J7" s="61">
        <v>0</v>
      </c>
    </row>
    <row r="8" spans="2:10" x14ac:dyDescent="0.3">
      <c r="B8" s="60" t="str">
        <v>Março</v>
      </c>
      <c r="C8" s="61">
        <v>0</v>
      </c>
      <c r="I8" s="60" t="str">
        <v>Março</v>
      </c>
      <c r="J8" s="61">
        <v>0</v>
      </c>
    </row>
    <row r="9" spans="2:10" x14ac:dyDescent="0.3">
      <c r="B9" s="60" t="str">
        <v>Abril</v>
      </c>
      <c r="C9" s="61">
        <v>0</v>
      </c>
      <c r="I9" s="60" t="str">
        <v>Abril</v>
      </c>
      <c r="J9" s="61">
        <v>0</v>
      </c>
    </row>
    <row r="10" spans="2:10" x14ac:dyDescent="0.3">
      <c r="B10" s="60" t="str">
        <v>Maio</v>
      </c>
      <c r="C10" s="61">
        <v>0</v>
      </c>
      <c r="I10" s="60" t="str">
        <v>Maio</v>
      </c>
      <c r="J10" s="61">
        <v>0</v>
      </c>
    </row>
    <row r="11" spans="2:10" x14ac:dyDescent="0.3">
      <c r="B11" s="60" t="str">
        <v>Junho</v>
      </c>
      <c r="C11" s="61">
        <v>0</v>
      </c>
      <c r="I11" s="60" t="str">
        <v>Junho</v>
      </c>
      <c r="J11" s="61">
        <v>0</v>
      </c>
    </row>
    <row r="12" spans="2:10" x14ac:dyDescent="0.3">
      <c r="B12" s="60" t="str">
        <v>Julho</v>
      </c>
      <c r="C12" s="61">
        <v>0</v>
      </c>
      <c r="I12" s="60" t="str">
        <v>Julho</v>
      </c>
      <c r="J12" s="61">
        <v>0</v>
      </c>
    </row>
    <row r="13" spans="2:10" x14ac:dyDescent="0.3">
      <c r="B13" s="60" t="str">
        <v>Agosto</v>
      </c>
      <c r="C13" s="61">
        <v>0</v>
      </c>
      <c r="I13" s="60" t="str">
        <v>Agosto</v>
      </c>
      <c r="J13" s="61">
        <v>0</v>
      </c>
    </row>
    <row r="14" spans="2:10" x14ac:dyDescent="0.3">
      <c r="B14" s="60" t="str">
        <v>Setembro</v>
      </c>
      <c r="C14" s="61">
        <v>0</v>
      </c>
      <c r="I14" s="60" t="str">
        <v>Setembro</v>
      </c>
      <c r="J14" s="61">
        <v>0</v>
      </c>
    </row>
    <row r="15" spans="2:10" x14ac:dyDescent="0.3">
      <c r="B15" s="60" t="str">
        <v>Outubro</v>
      </c>
      <c r="C15" s="61">
        <v>0</v>
      </c>
      <c r="I15" s="60" t="str">
        <v>Outubro</v>
      </c>
      <c r="J15" s="61">
        <v>0</v>
      </c>
    </row>
    <row r="16" spans="2:10" x14ac:dyDescent="0.3">
      <c r="B16" s="60" t="str">
        <v>Novembro</v>
      </c>
      <c r="C16" s="61">
        <v>0</v>
      </c>
      <c r="I16" s="60" t="str">
        <v>Novembro</v>
      </c>
      <c r="J16" s="61">
        <v>0</v>
      </c>
    </row>
    <row r="17" spans="2:10" x14ac:dyDescent="0.3">
      <c r="B17" s="60" t="str">
        <v>Dezembro</v>
      </c>
      <c r="C17" s="61">
        <v>0</v>
      </c>
      <c r="I17" s="60" t="str">
        <v>Dezembro</v>
      </c>
      <c r="J17" s="61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42</v>
      </c>
      <c r="J2" s="3"/>
      <c r="K2" s="82" t="s">
        <v>24</v>
      </c>
      <c r="L2" s="83"/>
      <c r="M2" s="38"/>
      <c r="N2" s="82" t="s">
        <v>7</v>
      </c>
      <c r="O2" s="83"/>
      <c r="P2" s="39"/>
    </row>
    <row r="3" spans="1:16" ht="15" x14ac:dyDescent="0.3">
      <c r="A3" s="6" t="str">
        <f>PROPER(TEXT("01/01","MMMM"))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1" t="s">
        <v>14</v>
      </c>
      <c r="L3" s="16">
        <f>SUM('Receita Líquida'!B3:M7)</f>
        <v>150</v>
      </c>
      <c r="M3" s="7"/>
      <c r="N3" s="43" t="str" cm="1">
        <f t="array" ref="N3:N14">Categorias</f>
        <v>Alimentação</v>
      </c>
      <c r="O3" s="44">
        <f>SUM('Despesas Gerais'!B7:M7)</f>
        <v>0</v>
      </c>
      <c r="P3" s="39"/>
    </row>
    <row r="4" spans="1:16" ht="15" x14ac:dyDescent="0.3">
      <c r="A4" s="6" t="str">
        <f>PROPER(TEXT("01/02","MMMM"))</f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1" t="s">
        <v>10</v>
      </c>
      <c r="L4" s="16">
        <f>SUM('Receita Líquida'!B8:M12)</f>
        <v>0</v>
      </c>
      <c r="M4" s="7"/>
      <c r="N4" s="43" t="str">
        <v>Carro</v>
      </c>
      <c r="O4" s="44">
        <f>SUM('Despesas Gerais'!B8:M8)</f>
        <v>0</v>
      </c>
      <c r="P4" s="39"/>
    </row>
    <row r="5" spans="1:16" ht="15" x14ac:dyDescent="0.3">
      <c r="A5" s="6" t="str">
        <f>PROPER(TEXT("01/03","MMMM"))</f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1" t="s">
        <v>16</v>
      </c>
      <c r="L5" s="16">
        <f>SUM('Receita Líquida'!B16:M16)</f>
        <v>150</v>
      </c>
      <c r="M5" s="7"/>
      <c r="N5" s="43" t="str">
        <v>Condomínio</v>
      </c>
      <c r="O5" s="44">
        <f>SUM('Despesas Gerais'!B9:M9)</f>
        <v>0</v>
      </c>
      <c r="P5" s="39"/>
    </row>
    <row r="6" spans="1:16" ht="15" x14ac:dyDescent="0.3">
      <c r="A6" s="6" t="str">
        <f>PROPER(TEXT("01/04","MMMM"))</f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1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3" t="str">
        <v>Curso</v>
      </c>
      <c r="O6" s="44">
        <f>SUM('Despesas Gerais'!B10:M10)</f>
        <v>0</v>
      </c>
      <c r="P6" s="39"/>
    </row>
    <row r="7" spans="1:16" ht="15" x14ac:dyDescent="0.3">
      <c r="A7" s="6" t="str">
        <f>PROPER(TEXT("01/05","MMMM"))</f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1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3" t="str">
        <v>Eletrônicos</v>
      </c>
      <c r="O7" s="44">
        <f>SUM('Despesas Gerais'!B11:M11)</f>
        <v>0</v>
      </c>
      <c r="P7" s="39"/>
    </row>
    <row r="8" spans="1:16" ht="15" x14ac:dyDescent="0.3">
      <c r="A8" s="6" t="str">
        <f>PROPER(TEXT("01/06","MMMM"))</f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1" t="s">
        <v>22</v>
      </c>
      <c r="L8" s="16">
        <f>SUM(L6:L7)</f>
        <v>0</v>
      </c>
      <c r="M8" s="7"/>
      <c r="N8" s="43" t="str">
        <v>Farm. e Saúde.</v>
      </c>
      <c r="O8" s="44">
        <f>SUM('Despesas Gerais'!B12:M12)</f>
        <v>0</v>
      </c>
      <c r="P8" s="39"/>
    </row>
    <row r="9" spans="1:16" ht="15" x14ac:dyDescent="0.3">
      <c r="A9" s="6" t="str">
        <f>PROPER(TEXT("01/07","MMMM"))</f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1" t="s">
        <v>12</v>
      </c>
      <c r="L9" s="18">
        <f>'Despesas Gerais'!M4</f>
        <v>150</v>
      </c>
      <c r="M9" s="8"/>
      <c r="N9" s="43" t="str">
        <v>G. Residencial</v>
      </c>
      <c r="O9" s="44">
        <f>SUM('Despesas Gerais'!B13:M13)</f>
        <v>0</v>
      </c>
      <c r="P9" s="39"/>
    </row>
    <row r="10" spans="1:16" ht="15.7" thickBot="1" x14ac:dyDescent="0.35">
      <c r="A10" s="6" t="str">
        <f>PROPER(TEXT("01/08","MMMM"))</f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2" t="s">
        <v>9</v>
      </c>
      <c r="L10" s="20">
        <f>'Gráfico Anual'!D15</f>
        <v>0</v>
      </c>
      <c r="M10" s="8"/>
      <c r="N10" s="43" t="str">
        <v>Gasolina</v>
      </c>
      <c r="O10" s="44">
        <f>SUM('Despesas Gerais'!B14:M14)</f>
        <v>0</v>
      </c>
      <c r="P10" s="39"/>
    </row>
    <row r="11" spans="1:16" ht="15" x14ac:dyDescent="0.3">
      <c r="A11" s="6" t="str">
        <f>PROPER(TEXT("01/09","MMMM"))</f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1" t="str">
        <v>Jogos/ Livros</v>
      </c>
      <c r="O11" s="44">
        <f>SUM('Despesas Gerais'!B15:M15)</f>
        <v>0</v>
      </c>
      <c r="P11" s="39"/>
    </row>
    <row r="12" spans="1:16" ht="15.7" customHeight="1" x14ac:dyDescent="0.3">
      <c r="A12" s="6" t="str">
        <f>PROPER(TEXT("01/10","MMMM"))</f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9"/>
      <c r="L12" s="40"/>
      <c r="M12" s="40"/>
      <c r="N12" s="55" t="str">
        <v>Rolê/ Entret.</v>
      </c>
      <c r="O12" s="44">
        <f>SUM('Despesas Gerais'!B16:M16)</f>
        <v>0</v>
      </c>
      <c r="P12" s="40"/>
    </row>
    <row r="13" spans="1:16" ht="15" x14ac:dyDescent="0.3">
      <c r="A13" s="6" t="str">
        <f>PROPER(TEXT("01/11","MMMM"))</f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9"/>
      <c r="L13" s="40"/>
      <c r="M13" s="40"/>
      <c r="N13" s="55" t="str">
        <v>Roupas</v>
      </c>
      <c r="O13" s="44">
        <f>SUM('Despesas Gerais'!B17:M17)</f>
        <v>0</v>
      </c>
      <c r="P13" s="40"/>
    </row>
    <row r="14" spans="1:16" ht="15" customHeight="1" thickBot="1" x14ac:dyDescent="0.35">
      <c r="A14" s="6" t="str">
        <f>PROPER(TEXT("01/12","MMMM"))</f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9"/>
      <c r="L14" s="39"/>
      <c r="M14" s="39"/>
      <c r="N14" s="56" t="str">
        <v>G. Gerais</v>
      </c>
      <c r="O14" s="57">
        <f>SUM('Despesas Gerais'!B18:M18)</f>
        <v>0</v>
      </c>
      <c r="P14" s="39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9"/>
      <c r="L15" s="39"/>
      <c r="M15" s="39"/>
      <c r="N15" s="39"/>
      <c r="O15" s="39"/>
      <c r="P15" s="39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9"/>
      <c r="L16" s="39"/>
      <c r="M16" s="39"/>
      <c r="N16" s="39"/>
      <c r="O16" s="39"/>
      <c r="P16" s="39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9"/>
      <c r="L17" s="39"/>
      <c r="M17" s="39"/>
      <c r="N17" s="39"/>
      <c r="O17" s="39"/>
      <c r="P17" s="39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9"/>
      <c r="L18" s="39"/>
      <c r="M18" s="39"/>
      <c r="N18" s="39"/>
      <c r="O18" s="39"/>
      <c r="P18" s="39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9"/>
      <c r="L19" s="39"/>
      <c r="M19" s="39"/>
      <c r="N19" s="39"/>
      <c r="O19" s="39"/>
      <c r="P19" s="39"/>
    </row>
    <row r="20" spans="1:16" x14ac:dyDescent="0.2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11</vt:i4>
      </vt:variant>
    </vt:vector>
  </HeadingPairs>
  <TitlesOfParts>
    <vt:vector size="16" baseType="lpstr">
      <vt:lpstr>Saldo &amp; Mov.</vt:lpstr>
      <vt:lpstr>Receita Líquida</vt:lpstr>
      <vt:lpstr>Despesas Gerais</vt:lpstr>
      <vt:lpstr>Gráfico Categorias</vt:lpstr>
      <vt:lpstr>Gráfico Anual</vt:lpstr>
      <vt:lpstr>Ativos</vt:lpstr>
      <vt:lpstr>Categorias</vt:lpstr>
      <vt:lpstr>Dash</vt:lpstr>
      <vt:lpstr>Despesas</vt:lpstr>
      <vt:lpstr>Investimentos</vt:lpstr>
      <vt:lpstr>Item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2023-12-13T16:19:14Z</dcterms:modified>
</cp:coreProperties>
</file>