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B1F84E09-515A-4E60-B7E3-C3B9F395CFB2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Graphic Categories" sheetId="14" state="hidden" r:id="rId5"/>
    <sheet name="Goals" sheetId="16" state="hidden" r:id="rId6"/>
    <sheet name="Graphic Annual" sheetId="13" r:id="rId7"/>
  </sheets>
  <definedNames>
    <definedName name="Accounts" localSheetId="5">Goals!#REF!</definedName>
    <definedName name="Accounts">'Data Validation'!$B$5:$B$8</definedName>
    <definedName name="Dash">'Graphic Annual'!$A$1:$P$26</definedName>
    <definedName name="Discount" localSheetId="5">Goals!#REF!</definedName>
    <definedName name="Discount">'Data Validation'!$H$5:$H$9</definedName>
    <definedName name="Expenses" localSheetId="5">Goals!$D$5:$D$16</definedName>
    <definedName name="Expenses">'Data Validation'!$D$5:$D$16</definedName>
    <definedName name="Income" localSheetId="5">Goals!#REF!</definedName>
    <definedName name="Income">'Data Validation'!$J$5:$J$9</definedName>
    <definedName name="Investments" localSheetId="5">Goals!$E$5:$E$6</definedName>
    <definedName name="Investments">'Data Validation'!$F$5:$F$6</definedName>
    <definedName name="Months" localSheetId="5">Goals!#REF!</definedName>
    <definedName name="Months">'Data Validation'!$P$5:$P$16</definedName>
    <definedName name="Net_Salary" localSheetId="5">Goals!#REF!</definedName>
    <definedName name="Net_Salary">'Data Validation'!$N$5:$N$16</definedName>
    <definedName name="Transfer" localSheetId="5">Goals!#REF!</definedName>
    <definedName name="Transfer">'Data Validation'!$L$5:$L$8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I4" i="16" l="1"/>
  <c r="C18" i="12" l="1"/>
  <c r="C19" i="12"/>
  <c r="C20" i="12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E3" i="12" a="1"/>
  <c r="E3" i="12" s="1"/>
  <c r="B9" i="12" a="1"/>
  <c r="B9" i="12" s="1"/>
  <c r="N15" i="15" a="1"/>
  <c r="N15" i="15" s="1"/>
  <c r="N10" i="15" a="1"/>
  <c r="N10" i="15" s="1"/>
  <c r="N5" i="15" a="1"/>
  <c r="N5" i="15" s="1"/>
  <c r="A3" i="8" s="1" a="1"/>
  <c r="A3" i="8" s="1"/>
  <c r="L5" i="15" a="1"/>
  <c r="L5" i="15" s="1"/>
  <c r="C12" i="12" l="1" a="1"/>
  <c r="C12" i="12" s="1"/>
  <c r="C11" i="12" a="1"/>
  <c r="C11" i="12" s="1"/>
  <c r="C10" i="12" a="1"/>
  <c r="C10" i="12" s="1"/>
  <c r="C9" i="12" a="1"/>
  <c r="C9" i="12" s="1"/>
  <c r="I5" i="16" l="1"/>
  <c r="F5" i="16" s="1"/>
  <c r="A18" i="8"/>
  <c r="F16" i="16" l="1"/>
  <c r="F12" i="16"/>
  <c r="F8" i="16"/>
  <c r="F13" i="16"/>
  <c r="F15" i="16"/>
  <c r="F11" i="16"/>
  <c r="F7" i="16"/>
  <c r="F9" i="16"/>
  <c r="F14" i="16"/>
  <c r="F10" i="16"/>
  <c r="F6" i="16"/>
  <c r="C248" i="12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3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<sst xmlns="http://schemas.openxmlformats.org/spreadsheetml/2006/main" count="137" uniqueCount="87">
  <si>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</si>
  <si>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</si>
  <si>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</si>
  <si>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</si>
  <si>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</si>
  <si>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</si>
  <si>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</si>
  <si>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</si>
  <si>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</si>
  <si>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</si>
  <si>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</si>
  <si>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</si>
  <si>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</si>
  <si>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</si>
  <si>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</si>
  <si>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</si>
  <si>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</si>
  <si>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</si>
  <si>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</si>
  <si>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</si>
  <si>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</si>
  <si>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</si>
  <si>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</si>
  <si>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</si>
  <si>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</si>
  <si>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</si>
  <si>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</si>
  <si>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</si>
  <si>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</si>
  <si>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</si>
  <si>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</si>
  <si>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</si>
  <si>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</si>
  <si>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</si>
  <si>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</si>
  <si>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</si>
  <si>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</si>
  <si>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</si>
  <si>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</si>
  <si>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</si>
  <si>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</si>
  <si>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</si>
  <si>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</si>
  <si>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</si>
  <si>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</si>
  <si>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</si>
  <si>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</si>
  <si>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</si>
  <si>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</si>
  <si>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</si>
  <si>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</si>
  <si>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</si>
  <si>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</si>
  <si>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</si>
  <si>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</si>
  <si>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</si>
  <si>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</si>
  <si>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</si>
  <si>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</si>
  <si>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</si>
  <si>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</si>
  <si>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</si>
  <si>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</si>
  <si>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</si>
  <si>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</si>
  <si>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</si>
  <si>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</si>
  <si>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</si>
  <si>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</si>
  <si>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</si>
  <si>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</si>
  <si>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</si>
  <si>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</si>
  <si>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</si>
  <si>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</si>
  <si>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</si>
  <si>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</si>
  <si>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</si>
  <si>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Goals</t>
  </si>
  <si>
    <t>Value</t>
  </si>
  <si>
    <t>Iphone</t>
  </si>
  <si>
    <t>Console PS5</t>
  </si>
  <si>
    <t>New Car</t>
  </si>
  <si>
    <t xml:space="preserve">Travel </t>
  </si>
  <si>
    <t>Input Goal</t>
  </si>
  <si>
    <t>Progress</t>
  </si>
  <si>
    <t>*Feel free to change the golas and their values as you wish.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</si>
</sst>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44" fontId="3" fillId="6" borderId="1" xfId="0" applyNumberFormat="1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6" fontId="0" fillId="6" borderId="1" xfId="1" applyNumberFormat="1" applyFont="1" applyFill="1" applyBorder="1"/>
    <xf numFmtId="9" fontId="0" fillId="2" borderId="1" xfId="2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90535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ccount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72" customWidth="1"/>
    <col min="2" max="2" width="11.42578125" style="72" customWidth="1"/>
    <col min="3" max="3" width="3.5703125" style="72" customWidth="1"/>
    <col min="4" max="4" width="17.140625" style="72" customWidth="1"/>
    <col min="5" max="5" width="3.5703125" style="72" customWidth="1"/>
    <col min="6" max="6" width="17.140625" style="72" customWidth="1"/>
    <col min="7" max="7" width="3.5703125" style="72" customWidth="1"/>
    <col min="8" max="8" width="17.140625" style="72" customWidth="1"/>
    <col min="9" max="9" width="3.5703125" style="72" customWidth="1"/>
    <col min="10" max="10" width="17.140625" style="72" customWidth="1"/>
    <col min="11" max="11" width="3.5703125" style="72" customWidth="1"/>
    <col min="12" max="12" width="11.42578125" style="72" customWidth="1"/>
    <col min="13" max="13" width="3.5703125" style="72" customWidth="1"/>
    <col min="14" max="14" width="17.140625" style="72" customWidth="1"/>
    <col min="15" max="15" width="3.5703125" style="72" customWidth="1"/>
    <col min="16" max="16" width="11.42578125" style="72" customWidth="1"/>
    <col min="17" max="16384" width="9.140625" style="72"/>
  </cols>
  <sheetData>
    <row r="2" spans="2:16" x14ac:dyDescent="0.25">
      <c r="B2" s="72" t="s">
        <v>74</v>
      </c>
    </row>
    <row r="4" spans="2:16" ht="15" x14ac:dyDescent="0.3">
      <c r="B4" s="28" t="s">
        <v>76</v>
      </c>
      <c r="D4" s="28" t="s">
        <v>21</v>
      </c>
      <c r="F4" s="28" t="s">
        <v>35</v>
      </c>
      <c r="H4" s="28" t="s">
        <v>41</v>
      </c>
      <c r="J4" s="28" t="s">
        <v>46</v>
      </c>
      <c r="L4" s="28" t="s">
        <v>69</v>
      </c>
      <c r="N4" s="28" t="s">
        <v>32</v>
      </c>
      <c r="P4" s="28" t="s">
        <v>70</v>
      </c>
    </row>
    <row r="5" spans="2:16" x14ac:dyDescent="0.25">
      <c r="B5" s="73" t="s">
        <v>24</v>
      </c>
      <c r="D5" s="73" t="s">
        <v>54</v>
      </c>
      <c r="F5" s="73" t="s">
        <v>72</v>
      </c>
      <c r="H5" s="73" t="s">
        <v>51</v>
      </c>
      <c r="J5" s="73" t="s">
        <v>47</v>
      </c>
      <c r="L5" s="74" t="str" cm="1">
        <f t="array" ref="L5:L8">Accounts</f>
        <v>Bank 1</v>
      </c>
      <c r="N5" s="74" t="str" cm="1">
        <f t="array" ref="N5:N9">Income</f>
        <v>Salary</v>
      </c>
      <c r="P5" s="74" t="s">
        <v>7</v>
      </c>
    </row>
    <row r="6" spans="2:16" x14ac:dyDescent="0.25">
      <c r="B6" s="73" t="s">
        <v>25</v>
      </c>
      <c r="D6" s="73" t="s">
        <v>73</v>
      </c>
      <c r="F6" s="73" t="s">
        <v>71</v>
      </c>
      <c r="H6" s="73" t="s">
        <v>50</v>
      </c>
      <c r="J6" s="73" t="s">
        <v>48</v>
      </c>
      <c r="L6" s="74" t="str">
        <v>Bank 2</v>
      </c>
      <c r="N6" s="74" t="str">
        <v>Seals</v>
      </c>
      <c r="P6" s="74" t="s">
        <v>8</v>
      </c>
    </row>
    <row r="7" spans="2:16" x14ac:dyDescent="0.25">
      <c r="B7" s="73" t="s">
        <v>26</v>
      </c>
      <c r="D7" s="73" t="s">
        <v>55</v>
      </c>
      <c r="H7" s="73" t="s">
        <v>66</v>
      </c>
      <c r="J7" s="73" t="s">
        <v>68</v>
      </c>
      <c r="L7" s="74" t="str">
        <v>Wallet</v>
      </c>
      <c r="N7" s="74" t="str">
        <v>Rent</v>
      </c>
      <c r="P7" s="74" t="s">
        <v>9</v>
      </c>
    </row>
    <row r="8" spans="2:16" x14ac:dyDescent="0.25">
      <c r="B8" s="73" t="s">
        <v>75</v>
      </c>
      <c r="D8" s="73" t="s">
        <v>56</v>
      </c>
      <c r="H8" s="73" t="s">
        <v>62</v>
      </c>
      <c r="J8" s="73" t="s">
        <v>61</v>
      </c>
      <c r="L8" s="74" t="str">
        <v>Savings</v>
      </c>
      <c r="N8" s="74" t="str">
        <v>Seals II</v>
      </c>
      <c r="P8" s="74" t="s">
        <v>10</v>
      </c>
    </row>
    <row r="9" spans="2:16" x14ac:dyDescent="0.25">
      <c r="D9" s="73" t="s">
        <v>53</v>
      </c>
      <c r="H9" s="73" t="s">
        <v>52</v>
      </c>
      <c r="J9" s="73" t="s">
        <v>49</v>
      </c>
      <c r="N9" s="74" t="str">
        <v>Other - Income</v>
      </c>
      <c r="P9" s="74" t="s">
        <v>11</v>
      </c>
    </row>
    <row r="10" spans="2:16" x14ac:dyDescent="0.25">
      <c r="D10" s="73" t="s">
        <v>5</v>
      </c>
      <c r="N10" s="74" t="str" cm="1">
        <f t="array" ref="N10:N14">Discount</f>
        <v>Tax I</v>
      </c>
      <c r="P10" s="74" t="s">
        <v>12</v>
      </c>
    </row>
    <row r="11" spans="2:16" x14ac:dyDescent="0.25">
      <c r="D11" s="73" t="s">
        <v>57</v>
      </c>
      <c r="N11" s="74" t="str">
        <v>Tax II</v>
      </c>
      <c r="P11" s="74" t="s">
        <v>13</v>
      </c>
    </row>
    <row r="12" spans="2:16" x14ac:dyDescent="0.25">
      <c r="D12" s="73" t="s">
        <v>58</v>
      </c>
      <c r="N12" s="74" t="str">
        <v>Bank Fee I</v>
      </c>
      <c r="P12" s="74" t="s">
        <v>14</v>
      </c>
    </row>
    <row r="13" spans="2:16" x14ac:dyDescent="0.25">
      <c r="D13" s="73" t="s">
        <v>65</v>
      </c>
      <c r="N13" s="74" t="str">
        <v>Bank Fee II</v>
      </c>
      <c r="P13" s="74" t="s">
        <v>15</v>
      </c>
    </row>
    <row r="14" spans="2:16" x14ac:dyDescent="0.25">
      <c r="D14" s="73" t="s">
        <v>63</v>
      </c>
      <c r="N14" s="74" t="str">
        <v>Other - Discount</v>
      </c>
      <c r="P14" s="74" t="s">
        <v>16</v>
      </c>
    </row>
    <row r="15" spans="2:16" x14ac:dyDescent="0.25">
      <c r="D15" s="73" t="s">
        <v>64</v>
      </c>
      <c r="N15" s="74" t="str" cm="1">
        <f t="array" ref="N15:N16">Investments</f>
        <v>Stock Market</v>
      </c>
      <c r="P15" s="74" t="s">
        <v>17</v>
      </c>
    </row>
    <row r="16" spans="2:16" x14ac:dyDescent="0.25">
      <c r="D16" s="73" t="s">
        <v>59</v>
      </c>
      <c r="N16" s="74" t="str">
        <v>Real Estate</v>
      </c>
      <c r="P16" s="7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C17" sqref="C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70" t="s">
        <v>21</v>
      </c>
      <c r="C3" s="35">
        <f>IF(B3="Expenses",HLOOKUP(B2,Expenses!B2:M20,19,FALSE),IF(B3="Net Salary",HLOOKUP(B2,'Net Salary'!B2:M16,15,FALSE),""))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Salary'!B3:M14,'Net Salary'!B2:M2=B2),""))</f>
        <v>0</v>
      </c>
      <c r="H3" s="54"/>
    </row>
    <row r="4" spans="1:8" ht="14.3" customHeight="1" x14ac:dyDescent="0.3">
      <c r="B4" s="15" t="s">
        <v>67</v>
      </c>
      <c r="C4" s="71" t="e">
        <f>HLOOKUP(B2,Expenses!B2:M20,19,FALSE)/HLOOKUP(B2,'Net Salary'!B2:M16,15,FALSE)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VLOOKUP(B2,'Graphic Annual'!A3:I14,9,FALSE)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'Graphic Annual'!I15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76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2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Wallet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">
        <v>27</v>
      </c>
      <c r="C13" s="35">
        <f ca="1">ROUND(C5-SUM(C9:C12),2)</f>
        <v>-150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54"/>
      <c r="C14" s="54"/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28</v>
      </c>
      <c r="C16" s="17" t="s">
        <v>6</v>
      </c>
      <c r="D16" s="17" t="s">
        <v>29</v>
      </c>
      <c r="E16" s="18" t="s">
        <v>30</v>
      </c>
      <c r="F16" s="18" t="s">
        <v>77</v>
      </c>
      <c r="G16" s="19" t="s">
        <v>20</v>
      </c>
      <c r="H16" s="18" t="s">
        <v>31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46</v>
      </c>
      <c r="E17" s="22" t="s">
        <v>47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Accounts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ht="18" customHeight="1" x14ac:dyDescent="0.3">
      <c r="A3" s="30" t="str" cm="1">
        <f t="array" ref="A3:A14">Net_Salary</f>
        <v>Salary</v>
      </c>
      <c r="B3" s="76">
        <f>SUMIFS(Tabela1[Amount],Tabela1[Month],B$2,Tabela1[Category],$A3)</f>
        <v>0</v>
      </c>
      <c r="C3" s="76">
        <f>SUMIFS(Tabela1[Amount],Tabela1[Month],C$2,Tabela1[Category],$A3)</f>
        <v>0</v>
      </c>
      <c r="D3" s="76">
        <f>SUMIFS(Tabela1[Amount],Tabela1[Month],D$2,Tabela1[Category],$A3)</f>
        <v>0</v>
      </c>
      <c r="E3" s="76">
        <f>SUMIFS(Tabela1[Amount],Tabela1[Month],E$2,Tabela1[Category],$A3)</f>
        <v>0</v>
      </c>
      <c r="F3" s="76">
        <f>SUMIFS(Tabela1[Amount],Tabela1[Month],F$2,Tabela1[Category],$A3)</f>
        <v>0</v>
      </c>
      <c r="G3" s="76">
        <f>SUMIFS(Tabela1[Amount],Tabela1[Month],G$2,Tabela1[Category],$A3)</f>
        <v>0</v>
      </c>
      <c r="H3" s="76">
        <f>SUMIFS(Tabela1[Amount],Tabela1[Month],H$2,Tabela1[Category],$A3)</f>
        <v>0</v>
      </c>
      <c r="I3" s="76">
        <f>SUMIFS(Tabela1[Amount],Tabela1[Month],I$2,Tabela1[Category],$A3)</f>
        <v>0</v>
      </c>
      <c r="J3" s="76">
        <f>SUMIFS(Tabela1[Amount],Tabela1[Month],J$2,Tabela1[Category],$A3)</f>
        <v>0</v>
      </c>
      <c r="K3" s="76">
        <f>SUMIFS(Tabela1[Amount],Tabela1[Month],K$2,Tabela1[Category],$A3)</f>
        <v>0</v>
      </c>
      <c r="L3" s="76">
        <f>SUMIFS(Tabela1[Amount],Tabela1[Month],L$2,Tabela1[Category],$A3)</f>
        <v>0</v>
      </c>
      <c r="M3" s="76">
        <f>SUMIFS(Tabela1[Amount],Tabela1[Month],M$2,Tabela1[Category],$A3)</f>
        <v>0</v>
      </c>
    </row>
    <row r="4" spans="1:13" ht="18" customHeight="1" x14ac:dyDescent="0.3">
      <c r="A4" s="30" t="str">
        <v>Seals</v>
      </c>
      <c r="B4" s="76">
        <f>SUMIFS(Tabela1[Amount],Tabela1[Month],B$2,Tabela1[Category],$A4)</f>
        <v>0</v>
      </c>
      <c r="C4" s="76">
        <f>SUMIFS(Tabela1[Amount],Tabela1[Month],C$2,Tabela1[Category],$A4)</f>
        <v>0</v>
      </c>
      <c r="D4" s="76">
        <f>SUMIFS(Tabela1[Amount],Tabela1[Month],D$2,Tabela1[Category],$A4)</f>
        <v>0</v>
      </c>
      <c r="E4" s="76">
        <f>SUMIFS(Tabela1[Amount],Tabela1[Month],E$2,Tabela1[Category],$A4)</f>
        <v>0</v>
      </c>
      <c r="F4" s="76">
        <f>SUMIFS(Tabela1[Amount],Tabela1[Month],F$2,Tabela1[Category],$A4)</f>
        <v>0</v>
      </c>
      <c r="G4" s="76">
        <f>SUMIFS(Tabela1[Amount],Tabela1[Month],G$2,Tabela1[Category],$A4)</f>
        <v>0</v>
      </c>
      <c r="H4" s="76">
        <f>SUMIFS(Tabela1[Amount],Tabela1[Month],H$2,Tabela1[Category],$A4)</f>
        <v>0</v>
      </c>
      <c r="I4" s="76">
        <f>SUMIFS(Tabela1[Amount],Tabela1[Month],I$2,Tabela1[Category],$A4)</f>
        <v>0</v>
      </c>
      <c r="J4" s="76">
        <f>SUMIFS(Tabela1[Amount],Tabela1[Month],J$2,Tabela1[Category],$A4)</f>
        <v>0</v>
      </c>
      <c r="K4" s="76">
        <f>SUMIFS(Tabela1[Amount],Tabela1[Month],K$2,Tabela1[Category],$A4)</f>
        <v>0</v>
      </c>
      <c r="L4" s="76">
        <f>SUMIFS(Tabela1[Amount],Tabela1[Month],L$2,Tabela1[Category],$A4)</f>
        <v>0</v>
      </c>
      <c r="M4" s="76">
        <f>SUMIFS(Tabela1[Amount],Tabela1[Month],M$2,Tabela1[Category],$A4)</f>
        <v>0</v>
      </c>
    </row>
    <row r="5" spans="1:13" ht="18" customHeight="1" x14ac:dyDescent="0.3">
      <c r="A5" s="30" t="str">
        <v>Rent</v>
      </c>
      <c r="B5" s="76">
        <f>SUMIFS(Tabela1[Amount],Tabela1[Month],B$2,Tabela1[Category],$A5)</f>
        <v>0</v>
      </c>
      <c r="C5" s="76">
        <f>SUMIFS(Tabela1[Amount],Tabela1[Month],C$2,Tabela1[Category],$A5)</f>
        <v>0</v>
      </c>
      <c r="D5" s="76">
        <f>SUMIFS(Tabela1[Amount],Tabela1[Month],D$2,Tabela1[Category],$A5)</f>
        <v>0</v>
      </c>
      <c r="E5" s="76">
        <f>SUMIFS(Tabela1[Amount],Tabela1[Month],E$2,Tabela1[Category],$A5)</f>
        <v>0</v>
      </c>
      <c r="F5" s="76">
        <f>SUMIFS(Tabela1[Amount],Tabela1[Month],F$2,Tabela1[Category],$A5)</f>
        <v>0</v>
      </c>
      <c r="G5" s="76">
        <f>SUMIFS(Tabela1[Amount],Tabela1[Month],G$2,Tabela1[Category],$A5)</f>
        <v>0</v>
      </c>
      <c r="H5" s="76">
        <f>SUMIFS(Tabela1[Amount],Tabela1[Month],H$2,Tabela1[Category],$A5)</f>
        <v>0</v>
      </c>
      <c r="I5" s="76">
        <f>SUMIFS(Tabela1[Amount],Tabela1[Month],I$2,Tabela1[Category],$A5)</f>
        <v>0</v>
      </c>
      <c r="J5" s="76">
        <f>SUMIFS(Tabela1[Amount],Tabela1[Month],J$2,Tabela1[Category],$A5)</f>
        <v>0</v>
      </c>
      <c r="K5" s="76">
        <f>SUMIFS(Tabela1[Amount],Tabela1[Month],K$2,Tabela1[Category],$A5)</f>
        <v>0</v>
      </c>
      <c r="L5" s="76">
        <f>SUMIFS(Tabela1[Amount],Tabela1[Month],L$2,Tabela1[Category],$A5)</f>
        <v>0</v>
      </c>
      <c r="M5" s="76">
        <f>SUMIFS(Tabela1[Amount],Tabela1[Month],M$2,Tabela1[Category],$A5)</f>
        <v>0</v>
      </c>
    </row>
    <row r="6" spans="1:13" ht="18" customHeight="1" x14ac:dyDescent="0.3">
      <c r="A6" s="30" t="str">
        <v>Seals II</v>
      </c>
      <c r="B6" s="76">
        <f>SUMIFS(Tabela1[Amount],Tabela1[Month],B$2,Tabela1[Category],$A6)</f>
        <v>0</v>
      </c>
      <c r="C6" s="76">
        <f>SUMIFS(Tabela1[Amount],Tabela1[Month],C$2,Tabela1[Category],$A6)</f>
        <v>0</v>
      </c>
      <c r="D6" s="76">
        <f>SUMIFS(Tabela1[Amount],Tabela1[Month],D$2,Tabela1[Category],$A6)</f>
        <v>0</v>
      </c>
      <c r="E6" s="76">
        <f>SUMIFS(Tabela1[Amount],Tabela1[Month],E$2,Tabela1[Category],$A6)</f>
        <v>0</v>
      </c>
      <c r="F6" s="76">
        <f>SUMIFS(Tabela1[Amount],Tabela1[Month],F$2,Tabela1[Category],$A6)</f>
        <v>0</v>
      </c>
      <c r="G6" s="76">
        <f>SUMIFS(Tabela1[Amount],Tabela1[Month],G$2,Tabela1[Category],$A6)</f>
        <v>0</v>
      </c>
      <c r="H6" s="76">
        <f>SUMIFS(Tabela1[Amount],Tabela1[Month],H$2,Tabela1[Category],$A6)</f>
        <v>0</v>
      </c>
      <c r="I6" s="76">
        <f>SUMIFS(Tabela1[Amount],Tabela1[Month],I$2,Tabela1[Category],$A6)</f>
        <v>0</v>
      </c>
      <c r="J6" s="76">
        <f>SUMIFS(Tabela1[Amount],Tabela1[Month],J$2,Tabela1[Category],$A6)</f>
        <v>0</v>
      </c>
      <c r="K6" s="76">
        <f>SUMIFS(Tabela1[Amount],Tabela1[Month],K$2,Tabela1[Category],$A6)</f>
        <v>0</v>
      </c>
      <c r="L6" s="76">
        <f>SUMIFS(Tabela1[Amount],Tabela1[Month],L$2,Tabela1[Category],$A6)</f>
        <v>0</v>
      </c>
      <c r="M6" s="76">
        <f>SUMIFS(Tabela1[Amount],Tabela1[Month],M$2,Tabela1[Category],$A6)</f>
        <v>0</v>
      </c>
    </row>
    <row r="7" spans="1:13" ht="18" customHeight="1" x14ac:dyDescent="0.3">
      <c r="A7" s="30" t="str">
        <v>Other - Income</v>
      </c>
      <c r="B7" s="76">
        <f>SUMIFS(Tabela1[Amount],Tabela1[Month],B$2,Tabela1[Category],$A7)</f>
        <v>0</v>
      </c>
      <c r="C7" s="76">
        <f>SUMIFS(Tabela1[Amount],Tabela1[Month],C$2,Tabela1[Category],$A7)</f>
        <v>0</v>
      </c>
      <c r="D7" s="76">
        <f>SUMIFS(Tabela1[Amount],Tabela1[Month],D$2,Tabela1[Category],$A7)</f>
        <v>0</v>
      </c>
      <c r="E7" s="76">
        <f>SUMIFS(Tabela1[Amount],Tabela1[Month],E$2,Tabela1[Category],$A7)</f>
        <v>0</v>
      </c>
      <c r="F7" s="76">
        <f>SUMIFS(Tabela1[Amount],Tabela1[Month],F$2,Tabela1[Category],$A7)</f>
        <v>0</v>
      </c>
      <c r="G7" s="76">
        <f>SUMIFS(Tabela1[Amount],Tabela1[Month],G$2,Tabela1[Category],$A7)</f>
        <v>0</v>
      </c>
      <c r="H7" s="76">
        <f>SUMIFS(Tabela1[Amount],Tabela1[Month],H$2,Tabela1[Category],$A7)</f>
        <v>0</v>
      </c>
      <c r="I7" s="76">
        <f>SUMIFS(Tabela1[Amount],Tabela1[Month],I$2,Tabela1[Category],$A7)</f>
        <v>0</v>
      </c>
      <c r="J7" s="76">
        <f>SUMIFS(Tabela1[Amount],Tabela1[Month],J$2,Tabela1[Category],$A7)</f>
        <v>0</v>
      </c>
      <c r="K7" s="76">
        <f>SUMIFS(Tabela1[Amount],Tabela1[Month],K$2,Tabela1[Category],$A7)</f>
        <v>0</v>
      </c>
      <c r="L7" s="76">
        <f>SUMIFS(Tabela1[Amount],Tabela1[Month],L$2,Tabela1[Category],$A7)</f>
        <v>0</v>
      </c>
      <c r="M7" s="76">
        <f>SUMIFS(Tabela1[Amount],Tabela1[Month],M$2,Tabela1[Category],$A7)</f>
        <v>0</v>
      </c>
    </row>
    <row r="8" spans="1:13" ht="17.850000000000001" customHeight="1" x14ac:dyDescent="0.3">
      <c r="A8" s="30" t="str">
        <v>Tax I</v>
      </c>
      <c r="B8" s="76">
        <f>SUMIFS(Tabela1[Amount],Tabela1[Month],B$2,Tabela1[Category],$A8)</f>
        <v>0</v>
      </c>
      <c r="C8" s="76">
        <f>SUMIFS(Tabela1[Amount],Tabela1[Month],C$2,Tabela1[Category],$A8)</f>
        <v>0</v>
      </c>
      <c r="D8" s="76">
        <f>SUMIFS(Tabela1[Amount],Tabela1[Month],D$2,Tabela1[Category],$A8)</f>
        <v>0</v>
      </c>
      <c r="E8" s="76">
        <f>SUMIFS(Tabela1[Amount],Tabela1[Month],E$2,Tabela1[Category],$A8)</f>
        <v>0</v>
      </c>
      <c r="F8" s="76">
        <f>SUMIFS(Tabela1[Amount],Tabela1[Month],F$2,Tabela1[Category],$A8)</f>
        <v>0</v>
      </c>
      <c r="G8" s="76">
        <f>SUMIFS(Tabela1[Amount],Tabela1[Month],G$2,Tabela1[Category],$A8)</f>
        <v>0</v>
      </c>
      <c r="H8" s="76">
        <f>SUMIFS(Tabela1[Amount],Tabela1[Month],H$2,Tabela1[Category],$A8)</f>
        <v>0</v>
      </c>
      <c r="I8" s="76">
        <f>SUMIFS(Tabela1[Amount],Tabela1[Month],I$2,Tabela1[Category],$A8)</f>
        <v>0</v>
      </c>
      <c r="J8" s="76">
        <f>SUMIFS(Tabela1[Amount],Tabela1[Month],J$2,Tabela1[Category],$A8)</f>
        <v>0</v>
      </c>
      <c r="K8" s="76">
        <f>SUMIFS(Tabela1[Amount],Tabela1[Month],K$2,Tabela1[Category],$A8)</f>
        <v>0</v>
      </c>
      <c r="L8" s="76">
        <f>SUMIFS(Tabela1[Amount],Tabela1[Month],L$2,Tabela1[Category],$A8)</f>
        <v>0</v>
      </c>
      <c r="M8" s="76">
        <f>SUMIFS(Tabela1[Amount],Tabela1[Month],M$2,Tabela1[Category],$A8)</f>
        <v>0</v>
      </c>
    </row>
    <row r="9" spans="1:13" ht="18" customHeight="1" x14ac:dyDescent="0.3">
      <c r="A9" s="30" t="str">
        <v>Tax II</v>
      </c>
      <c r="B9" s="76">
        <f>SUMIFS(Tabela1[Amount],Tabela1[Month],B$2,Tabela1[Category],$A9)</f>
        <v>0</v>
      </c>
      <c r="C9" s="76">
        <f>SUMIFS(Tabela1[Amount],Tabela1[Month],C$2,Tabela1[Category],$A9)</f>
        <v>0</v>
      </c>
      <c r="D9" s="76">
        <f>SUMIFS(Tabela1[Amount],Tabela1[Month],D$2,Tabela1[Category],$A9)</f>
        <v>0</v>
      </c>
      <c r="E9" s="76">
        <f>SUMIFS(Tabela1[Amount],Tabela1[Month],E$2,Tabela1[Category],$A9)</f>
        <v>0</v>
      </c>
      <c r="F9" s="76">
        <f>SUMIFS(Tabela1[Amount],Tabela1[Month],F$2,Tabela1[Category],$A9)</f>
        <v>0</v>
      </c>
      <c r="G9" s="76">
        <f>SUMIFS(Tabela1[Amount],Tabela1[Month],G$2,Tabela1[Category],$A9)</f>
        <v>0</v>
      </c>
      <c r="H9" s="76">
        <f>SUMIFS(Tabela1[Amount],Tabela1[Month],H$2,Tabela1[Category],$A9)</f>
        <v>0</v>
      </c>
      <c r="I9" s="76">
        <f>SUMIFS(Tabela1[Amount],Tabela1[Month],I$2,Tabela1[Category],$A9)</f>
        <v>0</v>
      </c>
      <c r="J9" s="76">
        <f>SUMIFS(Tabela1[Amount],Tabela1[Month],J$2,Tabela1[Category],$A9)</f>
        <v>0</v>
      </c>
      <c r="K9" s="76">
        <f>SUMIFS(Tabela1[Amount],Tabela1[Month],K$2,Tabela1[Category],$A9)</f>
        <v>0</v>
      </c>
      <c r="L9" s="76">
        <f>SUMIFS(Tabela1[Amount],Tabela1[Month],L$2,Tabela1[Category],$A9)</f>
        <v>0</v>
      </c>
      <c r="M9" s="76">
        <f>SUMIFS(Tabela1[Amount],Tabela1[Month],M$2,Tabela1[Category],$A9)</f>
        <v>0</v>
      </c>
    </row>
    <row r="10" spans="1:13" ht="17.850000000000001" customHeight="1" x14ac:dyDescent="0.3">
      <c r="A10" s="30" t="str">
        <v>Bank Fee I</v>
      </c>
      <c r="B10" s="76">
        <f>SUMIFS(Tabela1[Amount],Tabela1[Month],B$2,Tabela1[Category],$A10)</f>
        <v>0</v>
      </c>
      <c r="C10" s="76">
        <f>SUMIFS(Tabela1[Amount],Tabela1[Month],C$2,Tabela1[Category],$A10)</f>
        <v>0</v>
      </c>
      <c r="D10" s="76">
        <f>SUMIFS(Tabela1[Amount],Tabela1[Month],D$2,Tabela1[Category],$A10)</f>
        <v>0</v>
      </c>
      <c r="E10" s="76">
        <f>SUMIFS(Tabela1[Amount],Tabela1[Month],E$2,Tabela1[Category],$A10)</f>
        <v>0</v>
      </c>
      <c r="F10" s="76">
        <f>SUMIFS(Tabela1[Amount],Tabela1[Month],F$2,Tabela1[Category],$A10)</f>
        <v>0</v>
      </c>
      <c r="G10" s="76">
        <f>SUMIFS(Tabela1[Amount],Tabela1[Month],G$2,Tabela1[Category],$A10)</f>
        <v>0</v>
      </c>
      <c r="H10" s="76">
        <f>SUMIFS(Tabela1[Amount],Tabela1[Month],H$2,Tabela1[Category],$A10)</f>
        <v>0</v>
      </c>
      <c r="I10" s="76">
        <f>SUMIFS(Tabela1[Amount],Tabela1[Month],I$2,Tabela1[Category],$A10)</f>
        <v>0</v>
      </c>
      <c r="J10" s="76">
        <f>SUMIFS(Tabela1[Amount],Tabela1[Month],J$2,Tabela1[Category],$A10)</f>
        <v>0</v>
      </c>
      <c r="K10" s="76">
        <f>SUMIFS(Tabela1[Amount],Tabela1[Month],K$2,Tabela1[Category],$A10)</f>
        <v>0</v>
      </c>
      <c r="L10" s="76">
        <f>SUMIFS(Tabela1[Amount],Tabela1[Month],L$2,Tabela1[Category],$A10)</f>
        <v>0</v>
      </c>
      <c r="M10" s="76">
        <f>SUMIFS(Tabela1[Amount],Tabela1[Month],M$2,Tabela1[Category],$A10)</f>
        <v>0</v>
      </c>
    </row>
    <row r="11" spans="1:13" ht="17.850000000000001" customHeight="1" x14ac:dyDescent="0.3">
      <c r="A11" s="30" t="str">
        <v>Bank Fee II</v>
      </c>
      <c r="B11" s="76">
        <f>SUMIFS(Tabela1[Amount],Tabela1[Month],B$2,Tabela1[Category],$A11)</f>
        <v>0</v>
      </c>
      <c r="C11" s="76">
        <f>SUMIFS(Tabela1[Amount],Tabela1[Month],C$2,Tabela1[Category],$A11)</f>
        <v>0</v>
      </c>
      <c r="D11" s="76">
        <f>SUMIFS(Tabela1[Amount],Tabela1[Month],D$2,Tabela1[Category],$A11)</f>
        <v>0</v>
      </c>
      <c r="E11" s="76">
        <f>SUMIFS(Tabela1[Amount],Tabela1[Month],E$2,Tabela1[Category],$A11)</f>
        <v>0</v>
      </c>
      <c r="F11" s="76">
        <f>SUMIFS(Tabela1[Amount],Tabela1[Month],F$2,Tabela1[Category],$A11)</f>
        <v>0</v>
      </c>
      <c r="G11" s="76">
        <f>SUMIFS(Tabela1[Amount],Tabela1[Month],G$2,Tabela1[Category],$A11)</f>
        <v>0</v>
      </c>
      <c r="H11" s="76">
        <f>SUMIFS(Tabela1[Amount],Tabela1[Month],H$2,Tabela1[Category],$A11)</f>
        <v>0</v>
      </c>
      <c r="I11" s="76">
        <f>SUMIFS(Tabela1[Amount],Tabela1[Month],I$2,Tabela1[Category],$A11)</f>
        <v>0</v>
      </c>
      <c r="J11" s="76">
        <f>SUMIFS(Tabela1[Amount],Tabela1[Month],J$2,Tabela1[Category],$A11)</f>
        <v>0</v>
      </c>
      <c r="K11" s="76">
        <f>SUMIFS(Tabela1[Amount],Tabela1[Month],K$2,Tabela1[Category],$A11)</f>
        <v>0</v>
      </c>
      <c r="L11" s="76">
        <f>SUMIFS(Tabela1[Amount],Tabela1[Month],L$2,Tabela1[Category],$A11)</f>
        <v>0</v>
      </c>
      <c r="M11" s="76">
        <f>SUMIFS(Tabela1[Amount],Tabela1[Month],M$2,Tabela1[Category],$A11)</f>
        <v>0</v>
      </c>
    </row>
    <row r="12" spans="1:13" ht="18" customHeight="1" x14ac:dyDescent="0.3">
      <c r="A12" s="30" t="str">
        <v>Other - Discount</v>
      </c>
      <c r="B12" s="76">
        <f>SUMIFS(Tabela1[Amount],Tabela1[Month],B$2,Tabela1[Category],$A12)</f>
        <v>0</v>
      </c>
      <c r="C12" s="76">
        <f>SUMIFS(Tabela1[Amount],Tabela1[Month],C$2,Tabela1[Category],$A12)</f>
        <v>0</v>
      </c>
      <c r="D12" s="76">
        <f>SUMIFS(Tabela1[Amount],Tabela1[Month],D$2,Tabela1[Category],$A12)</f>
        <v>0</v>
      </c>
      <c r="E12" s="76">
        <f>SUMIFS(Tabela1[Amount],Tabela1[Month],E$2,Tabela1[Category],$A12)</f>
        <v>0</v>
      </c>
      <c r="F12" s="76">
        <f>SUMIFS(Tabela1[Amount],Tabela1[Month],F$2,Tabela1[Category],$A12)</f>
        <v>0</v>
      </c>
      <c r="G12" s="76">
        <f>SUMIFS(Tabela1[Amount],Tabela1[Month],G$2,Tabela1[Category],$A12)</f>
        <v>0</v>
      </c>
      <c r="H12" s="76">
        <f>SUMIFS(Tabela1[Amount],Tabela1[Month],H$2,Tabela1[Category],$A12)</f>
        <v>0</v>
      </c>
      <c r="I12" s="76">
        <f>SUMIFS(Tabela1[Amount],Tabela1[Month],I$2,Tabela1[Category],$A12)</f>
        <v>0</v>
      </c>
      <c r="J12" s="76">
        <f>SUMIFS(Tabela1[Amount],Tabela1[Month],J$2,Tabela1[Category],$A12)</f>
        <v>0</v>
      </c>
      <c r="K12" s="76">
        <f>SUMIFS(Tabela1[Amount],Tabela1[Month],K$2,Tabela1[Category],$A12)</f>
        <v>0</v>
      </c>
      <c r="L12" s="76">
        <f>SUMIFS(Tabela1[Amount],Tabela1[Month],L$2,Tabela1[Category],$A12)</f>
        <v>0</v>
      </c>
      <c r="M12" s="76">
        <f>SUMIFS(Tabela1[Amount],Tabela1[Month],M$2,Tabela1[Category],$A12)</f>
        <v>0</v>
      </c>
    </row>
    <row r="13" spans="1:13" ht="18" customHeight="1" x14ac:dyDescent="0.3">
      <c r="A13" s="30" t="str">
        <v>Stock Market</v>
      </c>
      <c r="B13" s="76">
        <f>SUMIFS(Tabela1[Amount],Tabela1[Month],B$2,Tabela1[Category],$A13)</f>
        <v>0</v>
      </c>
      <c r="C13" s="76">
        <f>SUMIFS(Tabela1[Amount],Tabela1[Month],C$2,Tabela1[Category],$A13)</f>
        <v>0</v>
      </c>
      <c r="D13" s="76">
        <f>SUMIFS(Tabela1[Amount],Tabela1[Month],D$2,Tabela1[Category],$A13)</f>
        <v>0</v>
      </c>
      <c r="E13" s="76">
        <f>SUMIFS(Tabela1[Amount],Tabela1[Month],E$2,Tabela1[Category],$A13)</f>
        <v>0</v>
      </c>
      <c r="F13" s="76">
        <f>SUMIFS(Tabela1[Amount],Tabela1[Month],F$2,Tabela1[Category],$A13)</f>
        <v>0</v>
      </c>
      <c r="G13" s="76">
        <f>SUMIFS(Tabela1[Amount],Tabela1[Month],G$2,Tabela1[Category],$A13)</f>
        <v>0</v>
      </c>
      <c r="H13" s="76">
        <f>SUMIFS(Tabela1[Amount],Tabela1[Month],H$2,Tabela1[Category],$A13)</f>
        <v>0</v>
      </c>
      <c r="I13" s="76">
        <f>SUMIFS(Tabela1[Amount],Tabela1[Month],I$2,Tabela1[Category],$A13)</f>
        <v>0</v>
      </c>
      <c r="J13" s="76">
        <f>SUMIFS(Tabela1[Amount],Tabela1[Month],J$2,Tabela1[Category],$A13)</f>
        <v>0</v>
      </c>
      <c r="K13" s="76">
        <f>SUMIFS(Tabela1[Amount],Tabela1[Month],K$2,Tabela1[Category],$A13)</f>
        <v>0</v>
      </c>
      <c r="L13" s="76">
        <f>SUMIFS(Tabela1[Amount],Tabela1[Month],L$2,Tabela1[Category],$A13)</f>
        <v>0</v>
      </c>
      <c r="M13" s="76">
        <f>SUMIFS(Tabela1[Amount],Tabela1[Month],M$2,Tabela1[Category],$A13)</f>
        <v>0</v>
      </c>
    </row>
    <row r="14" spans="1:13" ht="18" customHeight="1" x14ac:dyDescent="0.3">
      <c r="A14" s="30" t="str">
        <v>Real Estate</v>
      </c>
      <c r="B14" s="76">
        <f>SUMIFS(Tabela1[Amount],Tabela1[Month],B$2,Tabela1[Category],$A14)</f>
        <v>0</v>
      </c>
      <c r="C14" s="76">
        <f>SUMIFS(Tabela1[Amount],Tabela1[Month],C$2,Tabela1[Category],$A14)</f>
        <v>0</v>
      </c>
      <c r="D14" s="76">
        <f>SUMIFS(Tabela1[Amount],Tabela1[Month],D$2,Tabela1[Category],$A14)</f>
        <v>0</v>
      </c>
      <c r="E14" s="76">
        <f>SUMIFS(Tabela1[Amount],Tabela1[Month],E$2,Tabela1[Category],$A14)</f>
        <v>0</v>
      </c>
      <c r="F14" s="76">
        <f>SUMIFS(Tabela1[Amount],Tabela1[Month],F$2,Tabela1[Category],$A14)</f>
        <v>0</v>
      </c>
      <c r="G14" s="76">
        <f>SUMIFS(Tabela1[Amount],Tabela1[Month],G$2,Tabela1[Category],$A14)</f>
        <v>0</v>
      </c>
      <c r="H14" s="76">
        <f>SUMIFS(Tabela1[Amount],Tabela1[Month],H$2,Tabela1[Category],$A14)</f>
        <v>0</v>
      </c>
      <c r="I14" s="76">
        <f>SUMIFS(Tabela1[Amount],Tabela1[Month],I$2,Tabela1[Category],$A14)</f>
        <v>0</v>
      </c>
      <c r="J14" s="76">
        <f>SUMIFS(Tabela1[Amount],Tabela1[Month],J$2,Tabela1[Category],$A14)</f>
        <v>0</v>
      </c>
      <c r="K14" s="76">
        <f>SUMIFS(Tabela1[Amount],Tabela1[Month],K$2,Tabela1[Category],$A14)</f>
        <v>0</v>
      </c>
      <c r="L14" s="76">
        <f>SUMIFS(Tabela1[Amount],Tabela1[Month],L$2,Tabela1[Category],$A14)</f>
        <v>0</v>
      </c>
      <c r="M14" s="76">
        <f>SUMIFS(Tabela1[Amount],Tabela1[Month],M$2,Tabela1[Category],$A14)</f>
        <v>0</v>
      </c>
    </row>
    <row r="16" spans="1:13" ht="17.850000000000001" customHeight="1" x14ac:dyDescent="0.3">
      <c r="A16" s="28" t="s">
        <v>0</v>
      </c>
      <c r="B16" s="36">
        <f>ROUND(SUM(B3:B7)-SUM(B8:B14),2)</f>
        <v>0</v>
      </c>
      <c r="C16" s="36">
        <f t="shared" ref="C16:M16" si="0">ROUND(SUM(C3:C7)-SUM(C8:C14),2)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</row>
    <row r="18" spans="1:13" ht="18.55" hidden="1" customHeight="1" x14ac:dyDescent="0.3">
      <c r="A18" s="30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5" t="s">
        <v>32</v>
      </c>
      <c r="B3" s="76">
        <f>'Net Salary'!B16</f>
        <v>0</v>
      </c>
      <c r="C3" s="76">
        <f>'Net Salary'!C16</f>
        <v>0</v>
      </c>
      <c r="D3" s="76">
        <f>'Net Salary'!D16</f>
        <v>0</v>
      </c>
      <c r="E3" s="76">
        <f>'Net Salary'!E16</f>
        <v>0</v>
      </c>
      <c r="F3" s="76">
        <f>'Net Salary'!F16</f>
        <v>0</v>
      </c>
      <c r="G3" s="76">
        <f>'Net Salary'!G16</f>
        <v>0</v>
      </c>
      <c r="H3" s="76">
        <f>'Net Salary'!H16</f>
        <v>0</v>
      </c>
      <c r="I3" s="76">
        <f>'Net Salary'!I16</f>
        <v>0</v>
      </c>
      <c r="J3" s="76">
        <f>'Net Salary'!J16</f>
        <v>0</v>
      </c>
      <c r="K3" s="76">
        <f>'Net Salary'!K16</f>
        <v>0</v>
      </c>
      <c r="L3" s="76">
        <f>'Net Salary'!L16</f>
        <v>0</v>
      </c>
      <c r="M3" s="76">
        <f>'Net Salary'!M16</f>
        <v>0</v>
      </c>
    </row>
    <row r="4" spans="1:13" ht="15" customHeight="1" x14ac:dyDescent="0.3">
      <c r="A4" s="75" t="s">
        <v>22</v>
      </c>
      <c r="B4" s="77">
        <f>B3-(SUM(B7:B18))</f>
        <v>0</v>
      </c>
      <c r="C4" s="77">
        <f t="shared" ref="C4:L4" si="0">C3-(SUM(C7:C18))+B4</f>
        <v>0</v>
      </c>
      <c r="D4" s="77">
        <f t="shared" si="0"/>
        <v>0</v>
      </c>
      <c r="E4" s="77">
        <f t="shared" si="0"/>
        <v>0</v>
      </c>
      <c r="F4" s="77">
        <f t="shared" si="0"/>
        <v>0</v>
      </c>
      <c r="G4" s="77">
        <f t="shared" si="0"/>
        <v>0</v>
      </c>
      <c r="H4" s="77">
        <f t="shared" si="0"/>
        <v>0</v>
      </c>
      <c r="I4" s="77">
        <f t="shared" si="0"/>
        <v>0</v>
      </c>
      <c r="J4" s="77">
        <f t="shared" si="0"/>
        <v>0</v>
      </c>
      <c r="K4" s="77">
        <f t="shared" si="0"/>
        <v>0</v>
      </c>
      <c r="L4" s="77">
        <f t="shared" si="0"/>
        <v>0</v>
      </c>
      <c r="M4" s="77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31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6">
        <f>SUMIFS(Tabela1[Amount],Tabela1[Month],Expenses!B$2,Tabela1[Category],Expenses!$A7)</f>
        <v>0</v>
      </c>
      <c r="C7" s="76">
        <f>SUMIFS(Tabela1[Amount],Tabela1[Month],Expenses!C$2,Tabela1[Category],Expenses!$A7)</f>
        <v>0</v>
      </c>
      <c r="D7" s="76">
        <f>SUMIFS(Tabela1[Amount],Tabela1[Month],Expenses!D$2,Tabela1[Category],Expenses!$A7)</f>
        <v>0</v>
      </c>
      <c r="E7" s="76">
        <f>SUMIFS(Tabela1[Amount],Tabela1[Month],Expenses!E$2,Tabela1[Category],Expenses!$A7)</f>
        <v>0</v>
      </c>
      <c r="F7" s="76">
        <f>SUMIFS(Tabela1[Amount],Tabela1[Month],Expenses!F$2,Tabela1[Category],Expenses!$A7)</f>
        <v>0</v>
      </c>
      <c r="G7" s="76">
        <f>SUMIFS(Tabela1[Amount],Tabela1[Month],Expenses!G$2,Tabela1[Category],Expenses!$A7)</f>
        <v>0</v>
      </c>
      <c r="H7" s="76">
        <f>SUMIFS(Tabela1[Amount],Tabela1[Month],Expenses!H$2,Tabela1[Category],Expenses!$A7)</f>
        <v>0</v>
      </c>
      <c r="I7" s="76">
        <f>SUMIFS(Tabela1[Amount],Tabela1[Month],Expenses!I$2,Tabela1[Category],Expenses!$A7)</f>
        <v>0</v>
      </c>
      <c r="J7" s="76">
        <f>SUMIFS(Tabela1[Amount],Tabela1[Month],Expenses!J$2,Tabela1[Category],Expenses!$A7)</f>
        <v>0</v>
      </c>
      <c r="K7" s="76">
        <f>SUMIFS(Tabela1[Amount],Tabela1[Month],Expenses!K$2,Tabela1[Category],Expenses!$A7)</f>
        <v>0</v>
      </c>
      <c r="L7" s="76">
        <f>SUMIFS(Tabela1[Amount],Tabela1[Month],Expenses!L$2,Tabela1[Category],Expenses!$A7)</f>
        <v>0</v>
      </c>
      <c r="M7" s="76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6">
        <f>SUMIFS(Tabela1[Amount],Tabela1[Month],Expenses!B$2,Tabela1[Category],Expenses!$A8)</f>
        <v>0</v>
      </c>
      <c r="C8" s="76">
        <f>SUMIFS(Tabela1[Amount],Tabela1[Month],Expenses!C$2,Tabela1[Category],Expenses!$A8)</f>
        <v>0</v>
      </c>
      <c r="D8" s="76">
        <f>SUMIFS(Tabela1[Amount],Tabela1[Month],Expenses!D$2,Tabela1[Category],Expenses!$A8)</f>
        <v>0</v>
      </c>
      <c r="E8" s="76">
        <f>SUMIFS(Tabela1[Amount],Tabela1[Month],Expenses!E$2,Tabela1[Category],Expenses!$A8)</f>
        <v>0</v>
      </c>
      <c r="F8" s="76">
        <f>SUMIFS(Tabela1[Amount],Tabela1[Month],Expenses!F$2,Tabela1[Category],Expenses!$A8)</f>
        <v>0</v>
      </c>
      <c r="G8" s="76">
        <f>SUMIFS(Tabela1[Amount],Tabela1[Month],Expenses!G$2,Tabela1[Category],Expenses!$A8)</f>
        <v>0</v>
      </c>
      <c r="H8" s="76">
        <f>SUMIFS(Tabela1[Amount],Tabela1[Month],Expenses!H$2,Tabela1[Category],Expenses!$A8)</f>
        <v>0</v>
      </c>
      <c r="I8" s="76">
        <f>SUMIFS(Tabela1[Amount],Tabela1[Month],Expenses!I$2,Tabela1[Category],Expenses!$A8)</f>
        <v>0</v>
      </c>
      <c r="J8" s="76">
        <f>SUMIFS(Tabela1[Amount],Tabela1[Month],Expenses!J$2,Tabela1[Category],Expenses!$A8)</f>
        <v>0</v>
      </c>
      <c r="K8" s="76">
        <f>SUMIFS(Tabela1[Amount],Tabela1[Month],Expenses!K$2,Tabela1[Category],Expenses!$A8)</f>
        <v>0</v>
      </c>
      <c r="L8" s="76">
        <f>SUMIFS(Tabela1[Amount],Tabela1[Month],Expenses!L$2,Tabela1[Category],Expenses!$A8)</f>
        <v>0</v>
      </c>
      <c r="M8" s="76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6">
        <f>SUMIFS(Tabela1[Amount],Tabela1[Month],Expenses!B$2,Tabela1[Category],Expenses!$A9)</f>
        <v>0</v>
      </c>
      <c r="C9" s="76">
        <f>SUMIFS(Tabela1[Amount],Tabela1[Month],Expenses!C$2,Tabela1[Category],Expenses!$A9)</f>
        <v>0</v>
      </c>
      <c r="D9" s="76">
        <f>SUMIFS(Tabela1[Amount],Tabela1[Month],Expenses!D$2,Tabela1[Category],Expenses!$A9)</f>
        <v>0</v>
      </c>
      <c r="E9" s="76">
        <f>SUMIFS(Tabela1[Amount],Tabela1[Month],Expenses!E$2,Tabela1[Category],Expenses!$A9)</f>
        <v>0</v>
      </c>
      <c r="F9" s="76">
        <f>SUMIFS(Tabela1[Amount],Tabela1[Month],Expenses!F$2,Tabela1[Category],Expenses!$A9)</f>
        <v>0</v>
      </c>
      <c r="G9" s="76">
        <f>SUMIFS(Tabela1[Amount],Tabela1[Month],Expenses!G$2,Tabela1[Category],Expenses!$A9)</f>
        <v>0</v>
      </c>
      <c r="H9" s="76">
        <f>SUMIFS(Tabela1[Amount],Tabela1[Month],Expenses!H$2,Tabela1[Category],Expenses!$A9)</f>
        <v>0</v>
      </c>
      <c r="I9" s="76">
        <f>SUMIFS(Tabela1[Amount],Tabela1[Month],Expenses!I$2,Tabela1[Category],Expenses!$A9)</f>
        <v>0</v>
      </c>
      <c r="J9" s="76">
        <f>SUMIFS(Tabela1[Amount],Tabela1[Month],Expenses!J$2,Tabela1[Category],Expenses!$A9)</f>
        <v>0</v>
      </c>
      <c r="K9" s="76">
        <f>SUMIFS(Tabela1[Amount],Tabela1[Month],Expenses!K$2,Tabela1[Category],Expenses!$A9)</f>
        <v>0</v>
      </c>
      <c r="L9" s="76">
        <f>SUMIFS(Tabela1[Amount],Tabela1[Month],Expenses!L$2,Tabela1[Category],Expenses!$A9)</f>
        <v>0</v>
      </c>
      <c r="M9" s="76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6">
        <f>SUMIFS(Tabela1[Amount],Tabela1[Month],Expenses!B$2,Tabela1[Category],Expenses!$A10)</f>
        <v>0</v>
      </c>
      <c r="C10" s="76">
        <f>SUMIFS(Tabela1[Amount],Tabela1[Month],Expenses!C$2,Tabela1[Category],Expenses!$A10)</f>
        <v>0</v>
      </c>
      <c r="D10" s="76">
        <f>SUMIFS(Tabela1[Amount],Tabela1[Month],Expenses!D$2,Tabela1[Category],Expenses!$A10)</f>
        <v>0</v>
      </c>
      <c r="E10" s="76">
        <f>SUMIFS(Tabela1[Amount],Tabela1[Month],Expenses!E$2,Tabela1[Category],Expenses!$A10)</f>
        <v>0</v>
      </c>
      <c r="F10" s="76">
        <f>SUMIFS(Tabela1[Amount],Tabela1[Month],Expenses!F$2,Tabela1[Category],Expenses!$A10)</f>
        <v>0</v>
      </c>
      <c r="G10" s="76">
        <f>SUMIFS(Tabela1[Amount],Tabela1[Month],Expenses!G$2,Tabela1[Category],Expenses!$A10)</f>
        <v>0</v>
      </c>
      <c r="H10" s="76">
        <f>SUMIFS(Tabela1[Amount],Tabela1[Month],Expenses!H$2,Tabela1[Category],Expenses!$A10)</f>
        <v>0</v>
      </c>
      <c r="I10" s="76">
        <f>SUMIFS(Tabela1[Amount],Tabela1[Month],Expenses!I$2,Tabela1[Category],Expenses!$A10)</f>
        <v>0</v>
      </c>
      <c r="J10" s="76">
        <f>SUMIFS(Tabela1[Amount],Tabela1[Month],Expenses!J$2,Tabela1[Category],Expenses!$A10)</f>
        <v>0</v>
      </c>
      <c r="K10" s="76">
        <f>SUMIFS(Tabela1[Amount],Tabela1[Month],Expenses!K$2,Tabela1[Category],Expenses!$A10)</f>
        <v>0</v>
      </c>
      <c r="L10" s="76">
        <f>SUMIFS(Tabela1[Amount],Tabela1[Month],Expenses!L$2,Tabela1[Category],Expenses!$A10)</f>
        <v>0</v>
      </c>
      <c r="M10" s="76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6">
        <f>SUMIFS(Tabela1[Amount],Tabela1[Month],Expenses!B$2,Tabela1[Category],Expenses!$A11)</f>
        <v>0</v>
      </c>
      <c r="C11" s="76">
        <f>SUMIFS(Tabela1[Amount],Tabela1[Month],Expenses!C$2,Tabela1[Category],Expenses!$A11)</f>
        <v>0</v>
      </c>
      <c r="D11" s="76">
        <f>SUMIFS(Tabela1[Amount],Tabela1[Month],Expenses!D$2,Tabela1[Category],Expenses!$A11)</f>
        <v>0</v>
      </c>
      <c r="E11" s="76">
        <f>SUMIFS(Tabela1[Amount],Tabela1[Month],Expenses!E$2,Tabela1[Category],Expenses!$A11)</f>
        <v>0</v>
      </c>
      <c r="F11" s="76">
        <f>SUMIFS(Tabela1[Amount],Tabela1[Month],Expenses!F$2,Tabela1[Category],Expenses!$A11)</f>
        <v>0</v>
      </c>
      <c r="G11" s="76">
        <f>SUMIFS(Tabela1[Amount],Tabela1[Month],Expenses!G$2,Tabela1[Category],Expenses!$A11)</f>
        <v>0</v>
      </c>
      <c r="H11" s="76">
        <f>SUMIFS(Tabela1[Amount],Tabela1[Month],Expenses!H$2,Tabela1[Category],Expenses!$A11)</f>
        <v>0</v>
      </c>
      <c r="I11" s="76">
        <f>SUMIFS(Tabela1[Amount],Tabela1[Month],Expenses!I$2,Tabela1[Category],Expenses!$A11)</f>
        <v>0</v>
      </c>
      <c r="J11" s="76">
        <f>SUMIFS(Tabela1[Amount],Tabela1[Month],Expenses!J$2,Tabela1[Category],Expenses!$A11)</f>
        <v>0</v>
      </c>
      <c r="K11" s="76">
        <f>SUMIFS(Tabela1[Amount],Tabela1[Month],Expenses!K$2,Tabela1[Category],Expenses!$A11)</f>
        <v>0</v>
      </c>
      <c r="L11" s="76">
        <f>SUMIFS(Tabela1[Amount],Tabela1[Month],Expenses!L$2,Tabela1[Category],Expenses!$A11)</f>
        <v>0</v>
      </c>
      <c r="M11" s="76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6">
        <f>SUMIFS(Tabela1[Amount],Tabela1[Month],Expenses!B$2,Tabela1[Category],Expenses!$A12)</f>
        <v>0</v>
      </c>
      <c r="C12" s="76">
        <f>SUMIFS(Tabela1[Amount],Tabela1[Month],Expenses!C$2,Tabela1[Category],Expenses!$A12)</f>
        <v>0</v>
      </c>
      <c r="D12" s="76">
        <f>SUMIFS(Tabela1[Amount],Tabela1[Month],Expenses!D$2,Tabela1[Category],Expenses!$A12)</f>
        <v>0</v>
      </c>
      <c r="E12" s="76">
        <f>SUMIFS(Tabela1[Amount],Tabela1[Month],Expenses!E$2,Tabela1[Category],Expenses!$A12)</f>
        <v>0</v>
      </c>
      <c r="F12" s="76">
        <f>SUMIFS(Tabela1[Amount],Tabela1[Month],Expenses!F$2,Tabela1[Category],Expenses!$A12)</f>
        <v>0</v>
      </c>
      <c r="G12" s="76">
        <f>SUMIFS(Tabela1[Amount],Tabela1[Month],Expenses!G$2,Tabela1[Category],Expenses!$A12)</f>
        <v>0</v>
      </c>
      <c r="H12" s="76">
        <f>SUMIFS(Tabela1[Amount],Tabela1[Month],Expenses!H$2,Tabela1[Category],Expenses!$A12)</f>
        <v>0</v>
      </c>
      <c r="I12" s="76">
        <f>SUMIFS(Tabela1[Amount],Tabela1[Month],Expenses!I$2,Tabela1[Category],Expenses!$A12)</f>
        <v>0</v>
      </c>
      <c r="J12" s="76">
        <f>SUMIFS(Tabela1[Amount],Tabela1[Month],Expenses!J$2,Tabela1[Category],Expenses!$A12)</f>
        <v>0</v>
      </c>
      <c r="K12" s="76">
        <f>SUMIFS(Tabela1[Amount],Tabela1[Month],Expenses!K$2,Tabela1[Category],Expenses!$A12)</f>
        <v>0</v>
      </c>
      <c r="L12" s="76">
        <f>SUMIFS(Tabela1[Amount],Tabela1[Month],Expenses!L$2,Tabela1[Category],Expenses!$A12)</f>
        <v>0</v>
      </c>
      <c r="M12" s="76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6">
        <f>SUMIFS(Tabela1[Amount],Tabela1[Month],Expenses!B$2,Tabela1[Category],Expenses!$A13)</f>
        <v>0</v>
      </c>
      <c r="C13" s="76">
        <f>SUMIFS(Tabela1[Amount],Tabela1[Month],Expenses!C$2,Tabela1[Category],Expenses!$A13)</f>
        <v>0</v>
      </c>
      <c r="D13" s="76">
        <f>SUMIFS(Tabela1[Amount],Tabela1[Month],Expenses!D$2,Tabela1[Category],Expenses!$A13)</f>
        <v>0</v>
      </c>
      <c r="E13" s="76">
        <f>SUMIFS(Tabela1[Amount],Tabela1[Month],Expenses!E$2,Tabela1[Category],Expenses!$A13)</f>
        <v>0</v>
      </c>
      <c r="F13" s="76">
        <f>SUMIFS(Tabela1[Amount],Tabela1[Month],Expenses!F$2,Tabela1[Category],Expenses!$A13)</f>
        <v>0</v>
      </c>
      <c r="G13" s="76">
        <f>SUMIFS(Tabela1[Amount],Tabela1[Month],Expenses!G$2,Tabela1[Category],Expenses!$A13)</f>
        <v>0</v>
      </c>
      <c r="H13" s="76">
        <f>SUMIFS(Tabela1[Amount],Tabela1[Month],Expenses!H$2,Tabela1[Category],Expenses!$A13)</f>
        <v>0</v>
      </c>
      <c r="I13" s="76">
        <f>SUMIFS(Tabela1[Amount],Tabela1[Month],Expenses!I$2,Tabela1[Category],Expenses!$A13)</f>
        <v>0</v>
      </c>
      <c r="J13" s="76">
        <f>SUMIFS(Tabela1[Amount],Tabela1[Month],Expenses!J$2,Tabela1[Category],Expenses!$A13)</f>
        <v>0</v>
      </c>
      <c r="K13" s="76">
        <f>SUMIFS(Tabela1[Amount],Tabela1[Month],Expenses!K$2,Tabela1[Category],Expenses!$A13)</f>
        <v>0</v>
      </c>
      <c r="L13" s="76">
        <f>SUMIFS(Tabela1[Amount],Tabela1[Month],Expenses!L$2,Tabela1[Category],Expenses!$A13)</f>
        <v>0</v>
      </c>
      <c r="M13" s="76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6">
        <f>SUMIFS(Tabela1[Amount],Tabela1[Month],Expenses!B$2,Tabela1[Category],Expenses!$A14)</f>
        <v>0</v>
      </c>
      <c r="C14" s="76">
        <f>SUMIFS(Tabela1[Amount],Tabela1[Month],Expenses!C$2,Tabela1[Category],Expenses!$A14)</f>
        <v>0</v>
      </c>
      <c r="D14" s="76">
        <f>SUMIFS(Tabela1[Amount],Tabela1[Month],Expenses!D$2,Tabela1[Category],Expenses!$A14)</f>
        <v>0</v>
      </c>
      <c r="E14" s="76">
        <f>SUMIFS(Tabela1[Amount],Tabela1[Month],Expenses!E$2,Tabela1[Category],Expenses!$A14)</f>
        <v>0</v>
      </c>
      <c r="F14" s="76">
        <f>SUMIFS(Tabela1[Amount],Tabela1[Month],Expenses!F$2,Tabela1[Category],Expenses!$A14)</f>
        <v>0</v>
      </c>
      <c r="G14" s="76">
        <f>SUMIFS(Tabela1[Amount],Tabela1[Month],Expenses!G$2,Tabela1[Category],Expenses!$A14)</f>
        <v>0</v>
      </c>
      <c r="H14" s="76">
        <f>SUMIFS(Tabela1[Amount],Tabela1[Month],Expenses!H$2,Tabela1[Category],Expenses!$A14)</f>
        <v>0</v>
      </c>
      <c r="I14" s="76">
        <f>SUMIFS(Tabela1[Amount],Tabela1[Month],Expenses!I$2,Tabela1[Category],Expenses!$A14)</f>
        <v>0</v>
      </c>
      <c r="J14" s="76">
        <f>SUMIFS(Tabela1[Amount],Tabela1[Month],Expenses!J$2,Tabela1[Category],Expenses!$A14)</f>
        <v>0</v>
      </c>
      <c r="K14" s="76">
        <f>SUMIFS(Tabela1[Amount],Tabela1[Month],Expenses!K$2,Tabela1[Category],Expenses!$A14)</f>
        <v>0</v>
      </c>
      <c r="L14" s="76">
        <f>SUMIFS(Tabela1[Amount],Tabela1[Month],Expenses!L$2,Tabela1[Category],Expenses!$A14)</f>
        <v>0</v>
      </c>
      <c r="M14" s="76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6">
        <f>SUMIFS(Tabela1[Amount],Tabela1[Month],Expenses!B$2,Tabela1[Category],Expenses!$A15)</f>
        <v>0</v>
      </c>
      <c r="C15" s="76">
        <f>SUMIFS(Tabela1[Amount],Tabela1[Month],Expenses!C$2,Tabela1[Category],Expenses!$A15)</f>
        <v>0</v>
      </c>
      <c r="D15" s="76">
        <f>SUMIFS(Tabela1[Amount],Tabela1[Month],Expenses!D$2,Tabela1[Category],Expenses!$A15)</f>
        <v>0</v>
      </c>
      <c r="E15" s="76">
        <f>SUMIFS(Tabela1[Amount],Tabela1[Month],Expenses!E$2,Tabela1[Category],Expenses!$A15)</f>
        <v>0</v>
      </c>
      <c r="F15" s="76">
        <f>SUMIFS(Tabela1[Amount],Tabela1[Month],Expenses!F$2,Tabela1[Category],Expenses!$A15)</f>
        <v>0</v>
      </c>
      <c r="G15" s="76">
        <f>SUMIFS(Tabela1[Amount],Tabela1[Month],Expenses!G$2,Tabela1[Category],Expenses!$A15)</f>
        <v>0</v>
      </c>
      <c r="H15" s="76">
        <f>SUMIFS(Tabela1[Amount],Tabela1[Month],Expenses!H$2,Tabela1[Category],Expenses!$A15)</f>
        <v>0</v>
      </c>
      <c r="I15" s="76">
        <f>SUMIFS(Tabela1[Amount],Tabela1[Month],Expenses!I$2,Tabela1[Category],Expenses!$A15)</f>
        <v>0</v>
      </c>
      <c r="J15" s="76">
        <f>SUMIFS(Tabela1[Amount],Tabela1[Month],Expenses!J$2,Tabela1[Category],Expenses!$A15)</f>
        <v>0</v>
      </c>
      <c r="K15" s="76">
        <f>SUMIFS(Tabela1[Amount],Tabela1[Month],Expenses!K$2,Tabela1[Category],Expenses!$A15)</f>
        <v>0</v>
      </c>
      <c r="L15" s="76">
        <f>SUMIFS(Tabela1[Amount],Tabela1[Month],Expenses!L$2,Tabela1[Category],Expenses!$A15)</f>
        <v>0</v>
      </c>
      <c r="M15" s="76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6">
        <f>SUMIFS(Tabela1[Amount],Tabela1[Month],Expenses!B$2,Tabela1[Category],Expenses!$A16)</f>
        <v>0</v>
      </c>
      <c r="C16" s="76">
        <f>SUMIFS(Tabela1[Amount],Tabela1[Month],Expenses!C$2,Tabela1[Category],Expenses!$A16)</f>
        <v>0</v>
      </c>
      <c r="D16" s="76">
        <f>SUMIFS(Tabela1[Amount],Tabela1[Month],Expenses!D$2,Tabela1[Category],Expenses!$A16)</f>
        <v>0</v>
      </c>
      <c r="E16" s="76">
        <f>SUMIFS(Tabela1[Amount],Tabela1[Month],Expenses!E$2,Tabela1[Category],Expenses!$A16)</f>
        <v>0</v>
      </c>
      <c r="F16" s="76">
        <f>SUMIFS(Tabela1[Amount],Tabela1[Month],Expenses!F$2,Tabela1[Category],Expenses!$A16)</f>
        <v>0</v>
      </c>
      <c r="G16" s="76">
        <f>SUMIFS(Tabela1[Amount],Tabela1[Month],Expenses!G$2,Tabela1[Category],Expenses!$A16)</f>
        <v>0</v>
      </c>
      <c r="H16" s="76">
        <f>SUMIFS(Tabela1[Amount],Tabela1[Month],Expenses!H$2,Tabela1[Category],Expenses!$A16)</f>
        <v>0</v>
      </c>
      <c r="I16" s="76">
        <f>SUMIFS(Tabela1[Amount],Tabela1[Month],Expenses!I$2,Tabela1[Category],Expenses!$A16)</f>
        <v>0</v>
      </c>
      <c r="J16" s="76">
        <f>SUMIFS(Tabela1[Amount],Tabela1[Month],Expenses!J$2,Tabela1[Category],Expenses!$A16)</f>
        <v>0</v>
      </c>
      <c r="K16" s="76">
        <f>SUMIFS(Tabela1[Amount],Tabela1[Month],Expenses!K$2,Tabela1[Category],Expenses!$A16)</f>
        <v>0</v>
      </c>
      <c r="L16" s="76">
        <f>SUMIFS(Tabela1[Amount],Tabela1[Month],Expenses!L$2,Tabela1[Category],Expenses!$A16)</f>
        <v>0</v>
      </c>
      <c r="M16" s="76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6">
        <f>SUMIFS(Tabela1[Amount],Tabela1[Month],Expenses!B$2,Tabela1[Category],Expenses!$A17)</f>
        <v>0</v>
      </c>
      <c r="C17" s="76">
        <f>SUMIFS(Tabela1[Amount],Tabela1[Month],Expenses!C$2,Tabela1[Category],Expenses!$A17)</f>
        <v>0</v>
      </c>
      <c r="D17" s="76">
        <f>SUMIFS(Tabela1[Amount],Tabela1[Month],Expenses!D$2,Tabela1[Category],Expenses!$A17)</f>
        <v>0</v>
      </c>
      <c r="E17" s="76">
        <f>SUMIFS(Tabela1[Amount],Tabela1[Month],Expenses!E$2,Tabela1[Category],Expenses!$A17)</f>
        <v>0</v>
      </c>
      <c r="F17" s="76">
        <f>SUMIFS(Tabela1[Amount],Tabela1[Month],Expenses!F$2,Tabela1[Category],Expenses!$A17)</f>
        <v>0</v>
      </c>
      <c r="G17" s="76">
        <f>SUMIFS(Tabela1[Amount],Tabela1[Month],Expenses!G$2,Tabela1[Category],Expenses!$A17)</f>
        <v>0</v>
      </c>
      <c r="H17" s="76">
        <f>SUMIFS(Tabela1[Amount],Tabela1[Month],Expenses!H$2,Tabela1[Category],Expenses!$A17)</f>
        <v>0</v>
      </c>
      <c r="I17" s="76">
        <f>SUMIFS(Tabela1[Amount],Tabela1[Month],Expenses!I$2,Tabela1[Category],Expenses!$A17)</f>
        <v>0</v>
      </c>
      <c r="J17" s="76">
        <f>SUMIFS(Tabela1[Amount],Tabela1[Month],Expenses!J$2,Tabela1[Category],Expenses!$A17)</f>
        <v>0</v>
      </c>
      <c r="K17" s="76">
        <f>SUMIFS(Tabela1[Amount],Tabela1[Month],Expenses!K$2,Tabela1[Category],Expenses!$A17)</f>
        <v>0</v>
      </c>
      <c r="L17" s="76">
        <f>SUMIFS(Tabela1[Amount],Tabela1[Month],Expenses!L$2,Tabela1[Category],Expenses!$A17)</f>
        <v>0</v>
      </c>
      <c r="M17" s="76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6">
        <f>SUMIFS(Tabela1[Amount],Tabela1[Month],Expenses!B$2,Tabela1[Category],Expenses!$A18)</f>
        <v>0</v>
      </c>
      <c r="C18" s="76">
        <f>SUMIFS(Tabela1[Amount],Tabela1[Month],Expenses!C$2,Tabela1[Category],Expenses!$A18)</f>
        <v>0</v>
      </c>
      <c r="D18" s="76">
        <f>SUMIFS(Tabela1[Amount],Tabela1[Month],Expenses!D$2,Tabela1[Category],Expenses!$A18)</f>
        <v>0</v>
      </c>
      <c r="E18" s="76">
        <f>SUMIFS(Tabela1[Amount],Tabela1[Month],Expenses!E$2,Tabela1[Category],Expenses!$A18)</f>
        <v>0</v>
      </c>
      <c r="F18" s="76">
        <f>SUMIFS(Tabela1[Amount],Tabela1[Month],Expenses!F$2,Tabela1[Category],Expenses!$A18)</f>
        <v>0</v>
      </c>
      <c r="G18" s="76">
        <f>SUMIFS(Tabela1[Amount],Tabela1[Month],Expenses!G$2,Tabela1[Category],Expenses!$A18)</f>
        <v>0</v>
      </c>
      <c r="H18" s="76">
        <f>SUMIFS(Tabela1[Amount],Tabela1[Month],Expenses!H$2,Tabela1[Category],Expenses!$A18)</f>
        <v>0</v>
      </c>
      <c r="I18" s="76">
        <f>SUMIFS(Tabela1[Amount],Tabela1[Month],Expenses!I$2,Tabela1[Category],Expenses!$A18)</f>
        <v>0</v>
      </c>
      <c r="J18" s="76">
        <f>SUMIFS(Tabela1[Amount],Tabela1[Month],Expenses!J$2,Tabela1[Category],Expenses!$A18)</f>
        <v>0</v>
      </c>
      <c r="K18" s="76">
        <f>SUMIFS(Tabela1[Amount],Tabela1[Month],Expenses!K$2,Tabela1[Category],Expenses!$A18)</f>
        <v>0</v>
      </c>
      <c r="L18" s="76">
        <f>SUMIFS(Tabela1[Amount],Tabela1[Month],Expenses!L$2,Tabela1[Category],Expenses!$A18)</f>
        <v>0</v>
      </c>
      <c r="M18" s="76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67" customWidth="1"/>
    <col min="2" max="3" width="17.140625" style="67" customWidth="1"/>
    <col min="4" max="4" width="4.42578125" style="67" customWidth="1"/>
    <col min="5" max="5" width="10.42578125" style="67" bestFit="1" customWidth="1"/>
    <col min="6" max="6" width="16.28515625" style="67" bestFit="1" customWidth="1"/>
    <col min="7" max="8" width="11.42578125" style="67" customWidth="1"/>
    <col min="9" max="10" width="17.140625" style="67" customWidth="1"/>
    <col min="11" max="13" width="9.140625" style="67"/>
    <col min="14" max="14" width="7.140625" style="67" customWidth="1"/>
    <col min="15" max="16384" width="9.140625" style="67"/>
  </cols>
  <sheetData>
    <row r="2" spans="2:10" x14ac:dyDescent="0.3">
      <c r="B2" s="28" t="s">
        <v>60</v>
      </c>
      <c r="C2" s="28" t="s">
        <v>47</v>
      </c>
      <c r="I2" s="28" t="s">
        <v>21</v>
      </c>
      <c r="J2" s="28" t="s">
        <v>54</v>
      </c>
    </row>
    <row r="3" spans="2:10" x14ac:dyDescent="0.3">
      <c r="B3" s="78" t="s">
        <v>0</v>
      </c>
      <c r="C3" s="79">
        <f>SUM(C6:C17)</f>
        <v>0</v>
      </c>
      <c r="I3" s="78" t="s">
        <v>0</v>
      </c>
      <c r="J3" s="79">
        <f>SUM(J6:J17)</f>
        <v>0</v>
      </c>
    </row>
    <row r="5" spans="2:10" x14ac:dyDescent="0.3">
      <c r="B5" s="67" t="s">
        <v>6</v>
      </c>
      <c r="C5" s="67" t="s">
        <v>20</v>
      </c>
      <c r="I5" s="67" t="s">
        <v>6</v>
      </c>
      <c r="J5" s="68" t="s">
        <v>20</v>
      </c>
    </row>
    <row r="6" spans="2:10" x14ac:dyDescent="0.3">
      <c r="B6" s="67" t="str" cm="1">
        <f t="array" ref="B6:B17">Months</f>
        <v>January</v>
      </c>
      <c r="C6" s="69" cm="1">
        <f t="array" ref="C6:C17">TRANSPOSE(_xlfn._xlws.FILTER('Net Salary'!B3:M14,Net_Salary='Graphic Categories'!C2))</f>
        <v>0</v>
      </c>
      <c r="I6" s="67" t="str" cm="1">
        <f t="array" ref="I6:I17">Months</f>
        <v>January</v>
      </c>
      <c r="J6" s="69" cm="1">
        <f t="array" ref="J6:J17">TRANSPOSE(_xlfn._xlws.FILTER(Expenses!B7:M18,Expenses='Graphic Categories'!J2))</f>
        <v>0</v>
      </c>
    </row>
    <row r="7" spans="2:10" x14ac:dyDescent="0.3">
      <c r="B7" s="67" t="str">
        <v>February</v>
      </c>
      <c r="C7" s="69">
        <v>0</v>
      </c>
      <c r="I7" s="67" t="str">
        <v>February</v>
      </c>
      <c r="J7" s="69">
        <v>0</v>
      </c>
    </row>
    <row r="8" spans="2:10" x14ac:dyDescent="0.3">
      <c r="B8" s="67" t="str">
        <v>March</v>
      </c>
      <c r="C8" s="69">
        <v>0</v>
      </c>
      <c r="I8" s="67" t="str">
        <v>March</v>
      </c>
      <c r="J8" s="69">
        <v>0</v>
      </c>
    </row>
    <row r="9" spans="2:10" x14ac:dyDescent="0.3">
      <c r="B9" s="67" t="str">
        <v>April</v>
      </c>
      <c r="C9" s="69">
        <v>0</v>
      </c>
      <c r="I9" s="67" t="str">
        <v>April</v>
      </c>
      <c r="J9" s="69">
        <v>0</v>
      </c>
    </row>
    <row r="10" spans="2:10" x14ac:dyDescent="0.3">
      <c r="B10" s="67" t="str">
        <v>May</v>
      </c>
      <c r="C10" s="69">
        <v>0</v>
      </c>
      <c r="I10" s="67" t="str">
        <v>May</v>
      </c>
      <c r="J10" s="69">
        <v>0</v>
      </c>
    </row>
    <row r="11" spans="2:10" x14ac:dyDescent="0.3">
      <c r="B11" s="67" t="str">
        <v>June</v>
      </c>
      <c r="C11" s="69">
        <v>0</v>
      </c>
      <c r="I11" s="67" t="str">
        <v>June</v>
      </c>
      <c r="J11" s="69">
        <v>0</v>
      </c>
    </row>
    <row r="12" spans="2:10" x14ac:dyDescent="0.3">
      <c r="B12" s="67" t="str">
        <v>July</v>
      </c>
      <c r="C12" s="69">
        <v>0</v>
      </c>
      <c r="I12" s="67" t="str">
        <v>July</v>
      </c>
      <c r="J12" s="69">
        <v>0</v>
      </c>
    </row>
    <row r="13" spans="2:10" x14ac:dyDescent="0.3">
      <c r="B13" s="67" t="str">
        <v>August</v>
      </c>
      <c r="C13" s="69">
        <v>0</v>
      </c>
      <c r="I13" s="67" t="str">
        <v>August</v>
      </c>
      <c r="J13" s="69">
        <v>0</v>
      </c>
    </row>
    <row r="14" spans="2:10" x14ac:dyDescent="0.3">
      <c r="B14" s="67" t="str">
        <v>September</v>
      </c>
      <c r="C14" s="69">
        <v>0</v>
      </c>
      <c r="I14" s="67" t="str">
        <v>September</v>
      </c>
      <c r="J14" s="69">
        <v>0</v>
      </c>
    </row>
    <row r="15" spans="2:10" x14ac:dyDescent="0.3">
      <c r="B15" s="67" t="str">
        <v>October</v>
      </c>
      <c r="C15" s="69">
        <v>0</v>
      </c>
      <c r="I15" s="67" t="str">
        <v>October</v>
      </c>
      <c r="J15" s="69">
        <v>0</v>
      </c>
    </row>
    <row r="16" spans="2:10" x14ac:dyDescent="0.3">
      <c r="B16" s="67" t="str">
        <v>November</v>
      </c>
      <c r="C16" s="69">
        <v>0</v>
      </c>
      <c r="I16" s="67" t="str">
        <v>November</v>
      </c>
      <c r="J16" s="69">
        <v>0</v>
      </c>
    </row>
    <row r="17" spans="2:10" x14ac:dyDescent="0.3">
      <c r="B17" s="67" t="str">
        <v>December</v>
      </c>
      <c r="C17" s="69">
        <v>0</v>
      </c>
      <c r="I17" s="67" t="str">
        <v>December</v>
      </c>
      <c r="J17" s="69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BBBFB-0958-43BD-B792-1E8101351275}">
  <sheetPr>
    <tabColor theme="0"/>
  </sheetPr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72" customWidth="1"/>
    <col min="3" max="3" width="11.42578125" style="72" customWidth="1"/>
    <col min="4" max="6" width="17.140625" style="72" customWidth="1"/>
    <col min="7" max="7" width="9.140625" style="72"/>
    <col min="8" max="9" width="14.28515625" style="72" customWidth="1"/>
    <col min="10" max="16384" width="9.140625" style="72"/>
  </cols>
  <sheetData>
    <row r="2" spans="3:9" x14ac:dyDescent="0.25">
      <c r="C2" s="72" t="s">
        <v>86</v>
      </c>
    </row>
    <row r="4" spans="3:9" ht="15" x14ac:dyDescent="0.3">
      <c r="D4" s="28" t="s">
        <v>78</v>
      </c>
      <c r="E4" s="28" t="s">
        <v>79</v>
      </c>
      <c r="F4" s="28" t="s">
        <v>85</v>
      </c>
      <c r="H4" s="28" t="s">
        <v>77</v>
      </c>
      <c r="I4" s="28" t="str">
        <f>'Balance &amp; Tracking'!B12</f>
        <v>Savings</v>
      </c>
    </row>
    <row r="5" spans="3:9" x14ac:dyDescent="0.25">
      <c r="D5" s="73" t="s">
        <v>80</v>
      </c>
      <c r="E5" s="83">
        <v>450</v>
      </c>
      <c r="F5" s="84">
        <f ca="1">$I$5/E5</f>
        <v>0</v>
      </c>
      <c r="H5" s="82" t="s">
        <v>0</v>
      </c>
      <c r="I5" s="83">
        <f ca="1">'Balance &amp; Tracking'!C12</f>
        <v>0</v>
      </c>
    </row>
    <row r="6" spans="3:9" x14ac:dyDescent="0.25">
      <c r="D6" s="73" t="s">
        <v>81</v>
      </c>
      <c r="E6" s="83">
        <v>350</v>
      </c>
      <c r="F6" s="84">
        <f ca="1">$I$5/E6</f>
        <v>0</v>
      </c>
    </row>
    <row r="7" spans="3:9" x14ac:dyDescent="0.25">
      <c r="D7" s="73" t="s">
        <v>82</v>
      </c>
      <c r="E7" s="83">
        <v>12000</v>
      </c>
      <c r="F7" s="84">
        <f ca="1">$I$5/E7</f>
        <v>0</v>
      </c>
    </row>
    <row r="8" spans="3:9" x14ac:dyDescent="0.25">
      <c r="D8" s="73" t="s">
        <v>83</v>
      </c>
      <c r="E8" s="83">
        <v>2500</v>
      </c>
      <c r="F8" s="84">
        <f ca="1">$I$5/E8</f>
        <v>0</v>
      </c>
    </row>
    <row r="9" spans="3:9" x14ac:dyDescent="0.25">
      <c r="D9" s="73" t="s">
        <v>84</v>
      </c>
      <c r="E9" s="83">
        <v>1</v>
      </c>
      <c r="F9" s="84">
        <f ca="1">$I$5/E9</f>
        <v>0</v>
      </c>
    </row>
    <row r="10" spans="3:9" x14ac:dyDescent="0.25">
      <c r="D10" s="73" t="s">
        <v>84</v>
      </c>
      <c r="E10" s="83">
        <v>1</v>
      </c>
      <c r="F10" s="84">
        <f ca="1">$I$5/E10</f>
        <v>0</v>
      </c>
    </row>
    <row r="11" spans="3:9" x14ac:dyDescent="0.25">
      <c r="D11" s="73" t="s">
        <v>84</v>
      </c>
      <c r="E11" s="83">
        <v>1</v>
      </c>
      <c r="F11" s="84">
        <f ca="1">$I$5/E11</f>
        <v>0</v>
      </c>
    </row>
    <row r="12" spans="3:9" x14ac:dyDescent="0.25">
      <c r="D12" s="73" t="s">
        <v>84</v>
      </c>
      <c r="E12" s="83">
        <v>1</v>
      </c>
      <c r="F12" s="84">
        <f ca="1">$I$5/E12</f>
        <v>0</v>
      </c>
    </row>
    <row r="13" spans="3:9" x14ac:dyDescent="0.25">
      <c r="D13" s="73" t="s">
        <v>84</v>
      </c>
      <c r="E13" s="83">
        <v>1</v>
      </c>
      <c r="F13" s="84">
        <f ca="1">$I$5/E13</f>
        <v>0</v>
      </c>
    </row>
    <row r="14" spans="3:9" x14ac:dyDescent="0.25">
      <c r="D14" s="73" t="s">
        <v>84</v>
      </c>
      <c r="E14" s="83">
        <v>1</v>
      </c>
      <c r="F14" s="84">
        <f ca="1">$I$5/E14</f>
        <v>0</v>
      </c>
    </row>
    <row r="15" spans="3:9" x14ac:dyDescent="0.25">
      <c r="D15" s="73" t="s">
        <v>84</v>
      </c>
      <c r="E15" s="83">
        <v>1</v>
      </c>
      <c r="F15" s="84">
        <f ca="1">$I$5/E15</f>
        <v>0</v>
      </c>
    </row>
    <row r="16" spans="3:9" x14ac:dyDescent="0.25">
      <c r="D16" s="73" t="s">
        <v>84</v>
      </c>
      <c r="E16" s="83">
        <v>1</v>
      </c>
      <c r="F16" s="84">
        <f ca="1">$I$5/E16</f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{91AF8D87-94DF-460F-8F09-5DC272DAEDFD}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F8D87-94DF-460F-8F09-5DC272DAED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34</v>
      </c>
      <c r="D2" s="13" t="s">
        <v>35</v>
      </c>
      <c r="E2" s="4"/>
      <c r="F2" s="3" t="s">
        <v>21</v>
      </c>
      <c r="G2" s="4"/>
      <c r="H2" s="10" t="s">
        <v>36</v>
      </c>
      <c r="I2" s="11" t="s">
        <v>37</v>
      </c>
      <c r="K2" s="80" t="s">
        <v>39</v>
      </c>
      <c r="L2" s="81"/>
      <c r="M2" s="24"/>
      <c r="N2" s="80" t="s">
        <v>45</v>
      </c>
      <c r="O2" s="81"/>
    </row>
    <row r="3" spans="1:16" x14ac:dyDescent="0.3">
      <c r="A3" s="5" t="str" cm="1">
        <f t="array" ref="A3:A14">Months</f>
        <v>January</v>
      </c>
      <c r="B3" s="4"/>
      <c r="C3" s="38">
        <f>'Net Salary'!B16</f>
        <v>0</v>
      </c>
      <c r="D3" s="39">
        <f>SUM('Net Salary'!B$13:B$14)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40</v>
      </c>
      <c r="L3" s="39">
        <f>SUM('Net Salary'!B3:M7)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Salary'!C16</f>
        <v>0</v>
      </c>
      <c r="D4" s="39">
        <f>SUM('Net Salary'!C$13:C$14)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41</v>
      </c>
      <c r="L4" s="39">
        <f>SUM('Net Salary'!B8:M12)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Salary'!D16</f>
        <v>0</v>
      </c>
      <c r="D5" s="39">
        <f>SUM('Net Salary'!D$13:D$14)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34</v>
      </c>
      <c r="L5" s="39">
        <f>SUM('Net Salary'!B16:M16)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Salary'!E16</f>
        <v>0</v>
      </c>
      <c r="D6" s="39">
        <f>SUM('Net Salary'!E$13:E$14)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42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Salary'!F16</f>
        <v>0</v>
      </c>
      <c r="D7" s="39">
        <f>SUM('Net Salary'!F$13:F$14)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43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Salary'!G16</f>
        <v>0</v>
      </c>
      <c r="D8" s="39">
        <f>SUM('Net Salary'!G$13:G$14)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44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Salary'!H16</f>
        <v>0</v>
      </c>
      <c r="D9" s="39">
        <f>SUM('Net Salary'!H$13:H$14)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38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Salary'!I16</f>
        <v>0</v>
      </c>
      <c r="D10" s="39">
        <f>SUM('Net Salary'!I$13:I$14)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35</v>
      </c>
      <c r="L10" s="43">
        <f>'Graphic Annual'!D15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Salary'!J16</f>
        <v>0</v>
      </c>
      <c r="D11" s="39">
        <f>SUM('Net Salary'!J$13:J$14)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Salary'!K16</f>
        <v>0</v>
      </c>
      <c r="D12" s="39">
        <f>SUM('Net Salary'!K$13:K$14)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Salary'!L16</f>
        <v>0</v>
      </c>
      <c r="D13" s="39">
        <f>SUM('Net Salary'!L$13:L$14)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Salary'!M16</f>
        <v>0</v>
      </c>
      <c r="D14" s="39">
        <f>SUM('Net Salary'!M$13:M$14)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38</v>
      </c>
      <c r="I15" s="43">
        <f>'Graphic Annual'!L9</f>
        <v>0</v>
      </c>
    </row>
    <row r="16" spans="1:16" x14ac:dyDescent="0.3">
      <c r="A16" s="5" t="s">
        <v>33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11</vt:i4>
      </vt:variant>
    </vt:vector>
  </HeadingPairs>
  <TitlesOfParts>
    <vt:vector size="18" baseType="lpstr">
      <vt:lpstr>Data Validation</vt:lpstr>
      <vt:lpstr>Balance &amp; Tracking</vt:lpstr>
      <vt:lpstr>Net Salary</vt:lpstr>
      <vt:lpstr>Expenses</vt:lpstr>
      <vt:lpstr>Graphic Categories</vt:lpstr>
      <vt:lpstr>Goals</vt:lpstr>
      <vt:lpstr>Graphic Annual</vt:lpstr>
      <vt:lpstr>Accounts</vt:lpstr>
      <vt:lpstr>Dash</vt:lpstr>
      <vt:lpstr>Discount</vt:lpstr>
      <vt:lpstr>Goals!Expenses</vt:lpstr>
      <vt:lpstr>Expenses</vt:lpstr>
      <vt:lpstr>Income</vt:lpstr>
      <vt:lpstr>Goals!Investments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2024-01-30T20:39:24Z</dcterms:modified>
</cp:coreProperties>
</file>