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rcssi\Code\Personal_Finance\"/>
    </mc:Choice>
  </mc:AlternateContent>
  <xr:revisionPtr revIDLastSave="0" documentId="13_ncr:1_{805A075C-DC25-4316-A47D-63DDFCAB68F2}" xr6:coauthVersionLast="47" xr6:coauthVersionMax="47" xr10:uidLastSave="{00000000-0000-0000-0000-000000000000}"/>
  <bookViews>
    <workbookView xWindow="-114" yWindow="-114" windowWidth="19704" windowHeight="11178" tabRatio="792" activeTab="1" xr2:uid="{00000000-000D-0000-FFFF-FFFF00000000}"/>
  </bookViews>
  <sheets>
    <sheet name="Data Validation" sheetId="15" r:id="rId1"/>
    <sheet name="Balance &amp; Tracking" sheetId="12" r:id="rId2"/>
    <sheet name="Net Salary" sheetId="8" state="hidden" r:id="rId3"/>
    <sheet name="Expenses" sheetId="1" state="hidden" r:id="rId4"/>
    <sheet name="Graphic Categories" sheetId="14" state="hidden" r:id="rId5"/>
    <sheet name="Goals" sheetId="16" state="hidden" r:id="rId6"/>
    <sheet name="Graphic Annual" sheetId="13" r:id="rId7"/>
  </sheets>
  <definedNames>
    <definedName name="Accounts" localSheetId="5">Goals!#REF!</definedName>
    <definedName name="Accounts">'Data Validation'!$B$5:$B$9</definedName>
    <definedName name="Dash">'Graphic Annual'!$A$1:$P$26</definedName>
    <definedName name="Discount" localSheetId="5">Goals!#REF!</definedName>
    <definedName name="Discount">'Data Validation'!$F$9:$F$13</definedName>
    <definedName name="Expenses" localSheetId="5">Goals!$D$5:$D$16</definedName>
    <definedName name="Expenses">'Data Validation'!$D$5:$D$16</definedName>
    <definedName name="Income" localSheetId="5">Goals!#REF!</definedName>
    <definedName name="Income">'Data Validation'!$H$5:$H$9</definedName>
    <definedName name="Investments" localSheetId="5">Goals!$E$5:$E$6</definedName>
    <definedName name="Investments">'Data Validation'!$F$5:$F$6</definedName>
    <definedName name="Months" localSheetId="5">Goals!#REF!</definedName>
    <definedName name="Months">'Data Validation'!$P$5:$P$16</definedName>
    <definedName name="Net_Salary" localSheetId="5">Goals!#REF!</definedName>
    <definedName name="Net_Salary">'Data Validation'!$N$5:$N$16</definedName>
    <definedName name="Payment">'Data Validation'!$J$5</definedName>
    <definedName name="Transfer" localSheetId="5">Goals!#REF!</definedName>
    <definedName name="Transfer">'Data Validation'!$B$5:$B$8</definedName>
    <definedName name="Z_12641207_4FA9_4498_AEA1_9BC1962A4F9A_.wvu.Rows" localSheetId="3" hidden="1">Expenses!$6:$6,Expenses!#REF!</definedName>
  </definedNames>
  <calcPr calcId="191029"/>
  <customWorkbookViews>
    <customWorkbookView name="Robison - Modo de exibição pessoal" guid="{12641207-4FA9-4498-AEA1-9BC1962A4F9A}" mergeInterval="0" personalView="1" maximized="1" xWindow="1" yWindow="1" windowWidth="1020" windowHeight="54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2" l="1"/>
  <c r="C17" i="12" l="1"/>
  <c r="C18" i="12"/>
  <c r="C19" i="12"/>
  <c r="L5" i="15" a="1"/>
  <c r="L5" i="15" s="1"/>
  <c r="C20" i="12" l="1"/>
  <c r="N3" i="13" a="1"/>
  <c r="N3" i="13" s="1"/>
  <c r="A3" i="13" a="1"/>
  <c r="A3" i="13" s="1"/>
  <c r="I6" i="14" a="1"/>
  <c r="I6" i="14" s="1"/>
  <c r="B6" i="14" a="1"/>
  <c r="B6" i="14" s="1"/>
  <c r="A7" i="1" a="1"/>
  <c r="A7" i="1" s="1"/>
  <c r="B2" i="1" a="1"/>
  <c r="B2" i="1" s="1"/>
  <c r="B2" i="8" a="1"/>
  <c r="B2" i="8" s="1"/>
  <c r="E3" i="12" a="1"/>
  <c r="E3" i="12" s="1"/>
  <c r="B9" i="12" a="1"/>
  <c r="N15" i="15" a="1"/>
  <c r="N15" i="15" s="1"/>
  <c r="N10" i="15" a="1"/>
  <c r="N10" i="15" s="1"/>
  <c r="N5" i="15" a="1"/>
  <c r="N5" i="15" s="1"/>
  <c r="A3" i="8" l="1" a="1"/>
  <c r="A3" i="8" s="1"/>
  <c r="B9" i="12"/>
  <c r="C9" i="12" s="1" a="1"/>
  <c r="C9" i="12" s="1"/>
  <c r="I4" i="16"/>
  <c r="C12" i="12" a="1"/>
  <c r="C12" i="12" s="1"/>
  <c r="C11" i="12" a="1"/>
  <c r="C11" i="12" s="1"/>
  <c r="C10" i="12" a="1"/>
  <c r="C10" i="12" s="1"/>
  <c r="I5" i="16" l="1"/>
  <c r="F5" i="16" s="1"/>
  <c r="A18" i="8"/>
  <c r="F16" i="16" l="1"/>
  <c r="F12" i="16"/>
  <c r="F8" i="16"/>
  <c r="F13" i="16"/>
  <c r="F15" i="16"/>
  <c r="F11" i="16"/>
  <c r="F7" i="16"/>
  <c r="F9" i="16"/>
  <c r="F14" i="16"/>
  <c r="F10" i="16"/>
  <c r="F6" i="16"/>
  <c r="C248" i="12"/>
  <c r="M18" i="1"/>
  <c r="C4" i="8" l="1"/>
  <c r="C8" i="8"/>
  <c r="C12" i="8"/>
  <c r="D4" i="8"/>
  <c r="D8" i="8"/>
  <c r="D12" i="8"/>
  <c r="E4" i="8"/>
  <c r="E8" i="8"/>
  <c r="E12" i="8"/>
  <c r="F4" i="8"/>
  <c r="F8" i="8"/>
  <c r="F12" i="8"/>
  <c r="G4" i="8"/>
  <c r="G8" i="8"/>
  <c r="G12" i="8"/>
  <c r="H4" i="8"/>
  <c r="H8" i="8"/>
  <c r="H12" i="8"/>
  <c r="I4" i="8"/>
  <c r="I8" i="8"/>
  <c r="I12" i="8"/>
  <c r="J4" i="8"/>
  <c r="J8" i="8"/>
  <c r="J12" i="8"/>
  <c r="K4" i="8"/>
  <c r="K8" i="8"/>
  <c r="K12" i="8"/>
  <c r="L4" i="8"/>
  <c r="L8" i="8"/>
  <c r="L12" i="8"/>
  <c r="M4" i="8"/>
  <c r="M8" i="8"/>
  <c r="M12" i="8"/>
  <c r="C7" i="1"/>
  <c r="C11" i="1"/>
  <c r="C15" i="1"/>
  <c r="D7" i="1"/>
  <c r="D11" i="1"/>
  <c r="D15" i="1"/>
  <c r="E7" i="1"/>
  <c r="E11" i="1"/>
  <c r="E15" i="1"/>
  <c r="F7" i="1"/>
  <c r="F11" i="1"/>
  <c r="F15" i="1"/>
  <c r="G7" i="1"/>
  <c r="G11" i="1"/>
  <c r="G15" i="1"/>
  <c r="H7" i="1"/>
  <c r="H11" i="1"/>
  <c r="H15" i="1"/>
  <c r="I7" i="1"/>
  <c r="I11" i="1"/>
  <c r="I15" i="1"/>
  <c r="J7" i="1"/>
  <c r="J11" i="1"/>
  <c r="J15" i="1"/>
  <c r="K7" i="1"/>
  <c r="K11" i="1"/>
  <c r="K15" i="1"/>
  <c r="L7" i="1"/>
  <c r="L11" i="1"/>
  <c r="L15" i="1"/>
  <c r="M7" i="1"/>
  <c r="M11" i="1"/>
  <c r="M15" i="1"/>
  <c r="C5" i="8"/>
  <c r="C9" i="8"/>
  <c r="C13" i="8"/>
  <c r="D5" i="8"/>
  <c r="D9" i="8"/>
  <c r="D13" i="8"/>
  <c r="E5" i="8"/>
  <c r="E9" i="8"/>
  <c r="E13" i="8"/>
  <c r="F5" i="8"/>
  <c r="F9" i="8"/>
  <c r="F13" i="8"/>
  <c r="G5" i="8"/>
  <c r="G9" i="8"/>
  <c r="G13" i="8"/>
  <c r="H5" i="8"/>
  <c r="H9" i="8"/>
  <c r="H13" i="8"/>
  <c r="I5" i="8"/>
  <c r="I9" i="8"/>
  <c r="I13" i="8"/>
  <c r="J5" i="8"/>
  <c r="J9" i="8"/>
  <c r="J13" i="8"/>
  <c r="K5" i="8"/>
  <c r="K9" i="8"/>
  <c r="K13" i="8"/>
  <c r="L5" i="8"/>
  <c r="L9" i="8"/>
  <c r="L13" i="8"/>
  <c r="M5" i="8"/>
  <c r="M9" i="8"/>
  <c r="M13" i="8"/>
  <c r="C8" i="1"/>
  <c r="C12" i="1"/>
  <c r="C16" i="1"/>
  <c r="D8" i="1"/>
  <c r="D12" i="1"/>
  <c r="D16" i="1"/>
  <c r="E8" i="1"/>
  <c r="E12" i="1"/>
  <c r="E16" i="1"/>
  <c r="F8" i="1"/>
  <c r="F12" i="1"/>
  <c r="F16" i="1"/>
  <c r="G8" i="1"/>
  <c r="G12" i="1"/>
  <c r="G16" i="1"/>
  <c r="H8" i="1"/>
  <c r="H12" i="1"/>
  <c r="H16" i="1"/>
  <c r="I8" i="1"/>
  <c r="I12" i="1"/>
  <c r="I16" i="1"/>
  <c r="J8" i="1"/>
  <c r="J12" i="1"/>
  <c r="J16" i="1"/>
  <c r="K8" i="1"/>
  <c r="K12" i="1"/>
  <c r="K16" i="1"/>
  <c r="L8" i="1"/>
  <c r="L12" i="1"/>
  <c r="L16" i="1"/>
  <c r="M8" i="1"/>
  <c r="M12" i="1"/>
  <c r="M16" i="1"/>
  <c r="B3" i="8"/>
  <c r="C6" i="8"/>
  <c r="C10" i="8"/>
  <c r="C14" i="8"/>
  <c r="D6" i="8"/>
  <c r="D10" i="8"/>
  <c r="D14" i="8"/>
  <c r="E6" i="8"/>
  <c r="E10" i="8"/>
  <c r="E14" i="8"/>
  <c r="F6" i="8"/>
  <c r="F10" i="8"/>
  <c r="F14" i="8"/>
  <c r="G6" i="8"/>
  <c r="G10" i="8"/>
  <c r="G14" i="8"/>
  <c r="H6" i="8"/>
  <c r="H10" i="8"/>
  <c r="H14" i="8"/>
  <c r="I6" i="8"/>
  <c r="I10" i="8"/>
  <c r="I14" i="8"/>
  <c r="J6" i="8"/>
  <c r="J10" i="8"/>
  <c r="J14" i="8"/>
  <c r="K6" i="8"/>
  <c r="K10" i="8"/>
  <c r="K14" i="8"/>
  <c r="L6" i="8"/>
  <c r="L10" i="8"/>
  <c r="L14" i="8"/>
  <c r="M6" i="8"/>
  <c r="M10" i="8"/>
  <c r="M14" i="8"/>
  <c r="C9" i="1"/>
  <c r="C13" i="1"/>
  <c r="C17" i="1"/>
  <c r="D9" i="1"/>
  <c r="D13" i="1"/>
  <c r="D17" i="1"/>
  <c r="E9" i="1"/>
  <c r="E13" i="1"/>
  <c r="E17" i="1"/>
  <c r="F9" i="1"/>
  <c r="F13" i="1"/>
  <c r="F17" i="1"/>
  <c r="G9" i="1"/>
  <c r="G13" i="1"/>
  <c r="G17" i="1"/>
  <c r="H9" i="1"/>
  <c r="H13" i="1"/>
  <c r="H17" i="1"/>
  <c r="I9" i="1"/>
  <c r="I13" i="1"/>
  <c r="I17" i="1"/>
  <c r="J9" i="1"/>
  <c r="J13" i="1"/>
  <c r="J17" i="1"/>
  <c r="K9" i="1"/>
  <c r="K13" i="1"/>
  <c r="K17" i="1"/>
  <c r="L9" i="1"/>
  <c r="L13" i="1"/>
  <c r="L17" i="1"/>
  <c r="M9" i="1"/>
  <c r="M13" i="1"/>
  <c r="M17" i="1"/>
  <c r="C3" i="8"/>
  <c r="C7" i="8"/>
  <c r="C11" i="8"/>
  <c r="D3" i="8"/>
  <c r="D7" i="8"/>
  <c r="D11" i="8"/>
  <c r="E3" i="8"/>
  <c r="E7" i="8"/>
  <c r="E11" i="8"/>
  <c r="F3" i="8"/>
  <c r="F7" i="8"/>
  <c r="F11" i="8"/>
  <c r="G3" i="8"/>
  <c r="G7" i="8"/>
  <c r="G11" i="8"/>
  <c r="H3" i="8"/>
  <c r="H7" i="8"/>
  <c r="H11" i="8"/>
  <c r="I3" i="8"/>
  <c r="I7" i="8"/>
  <c r="I11" i="8"/>
  <c r="J3" i="8"/>
  <c r="J7" i="8"/>
  <c r="J11" i="8"/>
  <c r="K3" i="8"/>
  <c r="K7" i="8"/>
  <c r="K11" i="8"/>
  <c r="L3" i="8"/>
  <c r="L7" i="8"/>
  <c r="L11" i="8"/>
  <c r="M3" i="8"/>
  <c r="M7" i="8"/>
  <c r="M11" i="8"/>
  <c r="B7" i="1"/>
  <c r="C10" i="1"/>
  <c r="C14" i="1"/>
  <c r="C18" i="1"/>
  <c r="D10" i="1"/>
  <c r="D14" i="1"/>
  <c r="D18" i="1"/>
  <c r="E10" i="1"/>
  <c r="E14" i="1"/>
  <c r="E18" i="1"/>
  <c r="F10" i="1"/>
  <c r="F14" i="1"/>
  <c r="F18" i="1"/>
  <c r="G10" i="1"/>
  <c r="G14" i="1"/>
  <c r="G18" i="1"/>
  <c r="H10" i="1"/>
  <c r="H14" i="1"/>
  <c r="H18" i="1"/>
  <c r="I10" i="1"/>
  <c r="I14" i="1"/>
  <c r="I18" i="1"/>
  <c r="J10" i="1"/>
  <c r="J14" i="1"/>
  <c r="J18" i="1"/>
  <c r="K10" i="1"/>
  <c r="K14" i="1"/>
  <c r="K18" i="1"/>
  <c r="L10" i="1"/>
  <c r="L14" i="1"/>
  <c r="L18" i="1"/>
  <c r="M10" i="1"/>
  <c r="M14" i="1"/>
  <c r="J6" i="14" l="1" a="1"/>
  <c r="J6" i="14" s="1"/>
  <c r="M18" i="8"/>
  <c r="I18" i="8"/>
  <c r="E18" i="8"/>
  <c r="J18" i="8"/>
  <c r="F18" i="8"/>
  <c r="K18" i="8"/>
  <c r="G18" i="8"/>
  <c r="C18" i="8"/>
  <c r="L18" i="8"/>
  <c r="H18" i="8"/>
  <c r="D18" i="8"/>
  <c r="K16" i="8"/>
  <c r="E16" i="8"/>
  <c r="G16" i="8"/>
  <c r="C16" i="8"/>
  <c r="M16" i="8"/>
  <c r="I16" i="8"/>
  <c r="L16" i="8"/>
  <c r="D16" i="8"/>
  <c r="H16" i="8"/>
  <c r="O3" i="13"/>
  <c r="D13" i="13"/>
  <c r="D9" i="13"/>
  <c r="D5" i="13"/>
  <c r="D14" i="13"/>
  <c r="D10" i="13"/>
  <c r="D6" i="13"/>
  <c r="D11" i="13"/>
  <c r="D7" i="13"/>
  <c r="J16" i="8"/>
  <c r="F16" i="8"/>
  <c r="D12" i="13"/>
  <c r="D8" i="13"/>
  <c r="D4" i="13"/>
  <c r="C249" i="12" l="1"/>
  <c r="C258" i="12" l="1"/>
  <c r="D258" i="12" s="1"/>
  <c r="E258" i="12" s="1"/>
  <c r="F258" i="12" s="1"/>
  <c r="G258" i="12" l="1"/>
  <c r="C267" i="12" l="1"/>
  <c r="C279" i="12" l="1"/>
  <c r="C278" i="12"/>
  <c r="C277" i="12"/>
  <c r="C276" i="12"/>
  <c r="C275" i="12"/>
  <c r="C274" i="12"/>
  <c r="C273" i="12"/>
  <c r="C272" i="12"/>
  <c r="C271" i="12"/>
  <c r="C270" i="12"/>
  <c r="C269" i="12"/>
  <c r="A16" i="12" l="1"/>
  <c r="C282" i="12"/>
  <c r="C268" i="12"/>
  <c r="C280" i="12"/>
  <c r="C281" i="12"/>
  <c r="C294" i="12"/>
  <c r="C295" i="12"/>
  <c r="B11" i="1" l="1"/>
  <c r="O7" i="13" s="1"/>
  <c r="B15" i="1"/>
  <c r="O11" i="13" s="1"/>
  <c r="B7" i="8"/>
  <c r="C6" i="14" s="1" a="1"/>
  <c r="C6" i="14" s="1"/>
  <c r="C3" i="14" s="1"/>
  <c r="B11" i="8"/>
  <c r="B4" i="8"/>
  <c r="B12" i="8"/>
  <c r="B6" i="8"/>
  <c r="B14" i="8"/>
  <c r="B8" i="1"/>
  <c r="B12" i="1"/>
  <c r="O8" i="13" s="1"/>
  <c r="B16" i="1"/>
  <c r="O12" i="13" s="1"/>
  <c r="B8" i="8"/>
  <c r="B10" i="8"/>
  <c r="B9" i="1"/>
  <c r="O5" i="13" s="1"/>
  <c r="B13" i="1"/>
  <c r="O9" i="13" s="1"/>
  <c r="B17" i="1"/>
  <c r="B5" i="8"/>
  <c r="B9" i="8"/>
  <c r="B13" i="8"/>
  <c r="B10" i="1"/>
  <c r="O6" i="13" s="1"/>
  <c r="B14" i="1"/>
  <c r="O10" i="13" s="1"/>
  <c r="B18" i="1"/>
  <c r="O14" i="13" s="1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F3" i="12" l="1" a="1"/>
  <c r="F3" i="12" s="1"/>
  <c r="B18" i="8"/>
  <c r="O13" i="13"/>
  <c r="J3" i="14"/>
  <c r="B16" i="8"/>
  <c r="O4" i="13"/>
  <c r="D3" i="13"/>
  <c r="D15" i="13" s="1"/>
  <c r="L4" i="13"/>
  <c r="L3" i="13"/>
  <c r="C9" i="13"/>
  <c r="C13" i="13"/>
  <c r="C10" i="13"/>
  <c r="C4" i="13"/>
  <c r="C12" i="13"/>
  <c r="C14" i="13"/>
  <c r="C6" i="13"/>
  <c r="C8" i="13"/>
  <c r="C11" i="13"/>
  <c r="C7" i="13"/>
  <c r="C5" i="13"/>
  <c r="D17" i="13" l="1"/>
  <c r="D16" i="13"/>
  <c r="L5" i="13"/>
  <c r="C3" i="13"/>
  <c r="C17" i="13" s="1"/>
  <c r="K20" i="1"/>
  <c r="F12" i="13" s="1"/>
  <c r="G20" i="1"/>
  <c r="F8" i="13" s="1"/>
  <c r="M20" i="1"/>
  <c r="F14" i="13" s="1"/>
  <c r="I20" i="1"/>
  <c r="F10" i="13" s="1"/>
  <c r="E20" i="1"/>
  <c r="C20" i="1"/>
  <c r="D18" i="13"/>
  <c r="L7" i="13"/>
  <c r="L6" i="13"/>
  <c r="C18" i="13"/>
  <c r="L10" i="13"/>
  <c r="L20" i="1"/>
  <c r="F13" i="13" s="1"/>
  <c r="J20" i="1"/>
  <c r="F11" i="13" s="1"/>
  <c r="H20" i="1"/>
  <c r="F9" i="13" s="1"/>
  <c r="F20" i="1"/>
  <c r="F7" i="13" s="1"/>
  <c r="D20" i="1"/>
  <c r="F5" i="13" s="1"/>
  <c r="C15" i="13" l="1"/>
  <c r="C16" i="13"/>
  <c r="L8" i="13"/>
  <c r="F18" i="13"/>
  <c r="D3" i="1"/>
  <c r="C3" i="1"/>
  <c r="E3" i="1"/>
  <c r="F6" i="13"/>
  <c r="F4" i="13"/>
  <c r="J3" i="1" l="1"/>
  <c r="K3" i="1"/>
  <c r="I3" i="1"/>
  <c r="H3" i="1"/>
  <c r="M3" i="1" l="1"/>
  <c r="F3" i="1" l="1"/>
  <c r="G3" i="1"/>
  <c r="L3" i="1"/>
  <c r="B20" i="1" l="1"/>
  <c r="C4" i="12" s="1"/>
  <c r="C3" i="12" l="1"/>
  <c r="F3" i="13"/>
  <c r="F16" i="13" s="1"/>
  <c r="B3" i="1"/>
  <c r="B4" i="1" s="1"/>
  <c r="I3" i="13" s="1"/>
  <c r="H3" i="13" l="1"/>
  <c r="F17" i="13"/>
  <c r="F15" i="13"/>
  <c r="C4" i="1"/>
  <c r="I4" i="13" s="1"/>
  <c r="H4" i="13" s="1"/>
  <c r="D4" i="1" l="1"/>
  <c r="I5" i="13" s="1"/>
  <c r="H5" i="13" s="1"/>
  <c r="E4" i="1" l="1"/>
  <c r="I6" i="13" s="1"/>
  <c r="H6" i="13" l="1"/>
  <c r="F4" i="1"/>
  <c r="I7" i="13" s="1"/>
  <c r="H7" i="13" s="1"/>
  <c r="G4" i="1" l="1"/>
  <c r="I8" i="13" s="1"/>
  <c r="H8" i="13" l="1"/>
  <c r="H4" i="1"/>
  <c r="I9" i="13" s="1"/>
  <c r="H9" i="13" s="1"/>
  <c r="I4" i="1" l="1"/>
  <c r="I10" i="13" s="1"/>
  <c r="H10" i="13" l="1"/>
  <c r="J4" i="1"/>
  <c r="I11" i="13" s="1"/>
  <c r="H11" i="13" l="1"/>
  <c r="C5" i="12"/>
  <c r="C14" i="12" s="1"/>
  <c r="K4" i="1"/>
  <c r="I12" i="13" s="1"/>
  <c r="H12" i="13" l="1"/>
  <c r="L4" i="1"/>
  <c r="I13" i="13" s="1"/>
  <c r="H13" i="13" l="1"/>
  <c r="M4" i="1"/>
  <c r="L9" i="13" l="1"/>
  <c r="I15" i="13" s="1"/>
  <c r="C6" i="12" s="1"/>
  <c r="I14" i="13"/>
  <c r="H1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<sst xmlns="http://schemas.openxmlformats.org/spreadsheetml/2006/main" count="140" uniqueCount="89">
  <si>
    <t>Total</t>
  </si>
  <si>
    <t xml:space="preserve">Total </t>
  </si>
  <si>
    <t>1º Sem.</t>
  </si>
  <si>
    <t>2º Sem.</t>
  </si>
  <si>
    <t xml:space="preserve"> </t>
  </si>
  <si>
    <t>Gasolina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</si>
  <si>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</si>
  <si>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</si>
  <si>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</si>
  <si>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</si>
  <si>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</si>
  <si>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</si>
  <si>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</si>
  <si>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</si>
  <si>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</si>
  <si>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</si>
  <si>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</si>
  <si>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</si>
  <si>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</si>
  <si>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Description </t>
  </si>
  <si>
    <t>Amount</t>
  </si>
  <si>
    <t>Expenses</t>
  </si>
  <si>
    <t>Balance</t>
  </si>
  <si>
    <t>Annual Blc.</t>
  </si>
  <si>
    <t>Bank 1</t>
  </si>
  <si>
    <t>Bank 2</t>
  </si>
  <si>
    <t>Wallet</t>
  </si>
  <si>
    <t>Difference</t>
  </si>
  <si>
    <t>Date</t>
  </si>
  <si>
    <t>Operation</t>
  </si>
  <si>
    <t>Category</t>
  </si>
  <si>
    <t>Description</t>
  </si>
  <si>
    <t>Net Salary</t>
  </si>
  <si>
    <t>Average</t>
  </si>
  <si>
    <t>Net Income</t>
  </si>
  <si>
    <t>Investments</t>
  </si>
  <si>
    <t>Blc Month</t>
  </si>
  <si>
    <t>Blc Actual</t>
  </si>
  <si>
    <t>Annual Balance</t>
  </si>
  <si>
    <t>Result</t>
  </si>
  <si>
    <t>Gross Income</t>
  </si>
  <si>
    <t>Discount</t>
  </si>
  <si>
    <t>Fixed Expen.</t>
  </si>
  <si>
    <t>General Expen.</t>
  </si>
  <si>
    <t>Total Expen.</t>
  </si>
  <si>
    <t>Fixed Expenses</t>
  </si>
  <si>
    <t>Income</t>
  </si>
  <si>
    <t>Salary</t>
  </si>
  <si>
    <t>Seals</t>
  </si>
  <si>
    <t>Other - Income</t>
  </si>
  <si>
    <t>Tax II</t>
  </si>
  <si>
    <t>Tax I</t>
  </si>
  <si>
    <t>Other - Discount</t>
  </si>
  <si>
    <t>Food</t>
  </si>
  <si>
    <t>Bills</t>
  </si>
  <si>
    <t>Clothing</t>
  </si>
  <si>
    <t>Eletron n' games</t>
  </si>
  <si>
    <t>Hang out</t>
  </si>
  <si>
    <t>Healthcare</t>
  </si>
  <si>
    <t>General expen.</t>
  </si>
  <si>
    <t>Net_Salary</t>
  </si>
  <si>
    <t>Seals II</t>
  </si>
  <si>
    <t>Bank Fee II</t>
  </si>
  <si>
    <t>Personal Care</t>
  </si>
  <si>
    <t>Travel</t>
  </si>
  <si>
    <t>Insurance</t>
  </si>
  <si>
    <t>Bank Fee I</t>
  </si>
  <si>
    <t>Debt/ Income</t>
  </si>
  <si>
    <t>Rent</t>
  </si>
  <si>
    <t>Transfer</t>
  </si>
  <si>
    <t>Months</t>
  </si>
  <si>
    <t>Real Estate</t>
  </si>
  <si>
    <t>Stock Market</t>
  </si>
  <si>
    <t xml:space="preserve">Car </t>
  </si>
  <si>
    <t>*Feel free to change the blue values as you wish. However, if you need to remove or add new values, you may need to adjust the spreadsheet accordingly.</t>
  </si>
  <si>
    <t>Savings</t>
  </si>
  <si>
    <t>Accounts</t>
  </si>
  <si>
    <t>Account</t>
  </si>
  <si>
    <t>Goals</t>
  </si>
  <si>
    <t>Value</t>
  </si>
  <si>
    <t>Iphone</t>
  </si>
  <si>
    <t>Console PS5</t>
  </si>
  <si>
    <t>New Car</t>
  </si>
  <si>
    <t xml:space="preserve">Travel </t>
  </si>
  <si>
    <t>Input Goal</t>
  </si>
  <si>
    <t>Progress</t>
  </si>
  <si>
    <t>*Feel free to change the golas and their values as you wish.</t>
  </si>
  <si>
    <t>Credit Card</t>
  </si>
  <si>
    <t>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</si>
</sst>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mmmm"/>
    <numFmt numFmtId="165" formatCode="dd/mm"/>
    <numFmt numFmtId="166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Comic Sans MS"/>
      <family val="4"/>
    </font>
    <font>
      <sz val="10"/>
      <color theme="1"/>
      <name val="Comic Sans MS"/>
      <family val="4"/>
    </font>
    <font>
      <sz val="10"/>
      <name val="Comic Sans MS"/>
      <family val="4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44" fontId="4" fillId="2" borderId="1" xfId="1" applyFont="1" applyFill="1" applyBorder="1"/>
    <xf numFmtId="0" fontId="3" fillId="2" borderId="0" xfId="0" applyFont="1" applyFill="1"/>
    <xf numFmtId="0" fontId="2" fillId="3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44" fontId="3" fillId="2" borderId="0" xfId="1" applyFont="1" applyFill="1" applyBorder="1" applyAlignment="1">
      <alignment horizontal="center"/>
    </xf>
    <xf numFmtId="44" fontId="3" fillId="2" borderId="0" xfId="0" applyNumberFormat="1" applyFont="1" applyFill="1" applyAlignment="1">
      <alignment horizontal="center"/>
    </xf>
    <xf numFmtId="0" fontId="2" fillId="3" borderId="7" xfId="0" applyFont="1" applyFill="1" applyBorder="1" applyAlignment="1">
      <alignment horizontal="center"/>
    </xf>
    <xf numFmtId="44" fontId="3" fillId="2" borderId="0" xfId="0" applyNumberFormat="1" applyFont="1" applyFill="1"/>
    <xf numFmtId="0" fontId="2" fillId="3" borderId="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1" xfId="0" applyFont="1" applyFill="1" applyBorder="1"/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4" fontId="2" fillId="0" borderId="0" xfId="1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3" fillId="2" borderId="10" xfId="0" applyFont="1" applyFill="1" applyBorder="1"/>
    <xf numFmtId="0" fontId="3" fillId="2" borderId="2" xfId="0" applyFont="1" applyFill="1" applyBorder="1"/>
    <xf numFmtId="0" fontId="4" fillId="2" borderId="10" xfId="0" applyFont="1" applyFill="1" applyBorder="1"/>
    <xf numFmtId="165" fontId="2" fillId="4" borderId="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left"/>
    </xf>
    <xf numFmtId="0" fontId="4" fillId="2" borderId="0" xfId="0" applyFont="1" applyFill="1" applyAlignment="1">
      <alignment vertical="center"/>
    </xf>
    <xf numFmtId="44" fontId="4" fillId="2" borderId="0" xfId="1" applyFont="1" applyFill="1" applyBorder="1"/>
    <xf numFmtId="0" fontId="4" fillId="2" borderId="0" xfId="0" applyFont="1" applyFill="1"/>
    <xf numFmtId="44" fontId="4" fillId="2" borderId="0" xfId="1" applyFont="1" applyFill="1" applyBorder="1" applyAlignment="1"/>
    <xf numFmtId="166" fontId="3" fillId="2" borderId="1" xfId="1" applyNumberFormat="1" applyFont="1" applyFill="1" applyBorder="1" applyAlignment="1">
      <alignment vertical="center"/>
    </xf>
    <xf numFmtId="166" fontId="4" fillId="2" borderId="1" xfId="1" applyNumberFormat="1" applyFont="1" applyFill="1" applyBorder="1"/>
    <xf numFmtId="166" fontId="4" fillId="0" borderId="0" xfId="1" applyNumberFormat="1" applyFont="1" applyFill="1" applyAlignment="1">
      <alignment horizontal="center"/>
    </xf>
    <xf numFmtId="166" fontId="3" fillId="2" borderId="10" xfId="0" applyNumberFormat="1" applyFont="1" applyFill="1" applyBorder="1" applyAlignment="1">
      <alignment horizontal="center"/>
    </xf>
    <xf numFmtId="166" fontId="3" fillId="2" borderId="11" xfId="1" applyNumberFormat="1" applyFont="1" applyFill="1" applyBorder="1" applyAlignment="1">
      <alignment horizontal="center"/>
    </xf>
    <xf numFmtId="166" fontId="3" fillId="2" borderId="10" xfId="1" applyNumberFormat="1" applyFont="1" applyFill="1" applyBorder="1" applyAlignment="1">
      <alignment horizontal="center"/>
    </xf>
    <xf numFmtId="166" fontId="3" fillId="2" borderId="11" xfId="0" applyNumberFormat="1" applyFont="1" applyFill="1" applyBorder="1" applyAlignment="1">
      <alignment horizontal="center"/>
    </xf>
    <xf numFmtId="166" fontId="3" fillId="2" borderId="2" xfId="0" applyNumberFormat="1" applyFont="1" applyFill="1" applyBorder="1" applyAlignment="1">
      <alignment horizontal="center"/>
    </xf>
    <xf numFmtId="166" fontId="3" fillId="2" borderId="3" xfId="0" applyNumberFormat="1" applyFont="1" applyFill="1" applyBorder="1" applyAlignment="1">
      <alignment horizontal="center"/>
    </xf>
    <xf numFmtId="166" fontId="3" fillId="2" borderId="6" xfId="1" applyNumberFormat="1" applyFont="1" applyFill="1" applyBorder="1" applyAlignment="1">
      <alignment horizontal="center"/>
    </xf>
    <xf numFmtId="166" fontId="3" fillId="2" borderId="6" xfId="1" applyNumberFormat="1" applyFont="1" applyFill="1" applyBorder="1" applyAlignment="1"/>
    <xf numFmtId="166" fontId="3" fillId="2" borderId="6" xfId="0" applyNumberFormat="1" applyFont="1" applyFill="1" applyBorder="1"/>
    <xf numFmtId="166" fontId="3" fillId="2" borderId="7" xfId="0" applyNumberFormat="1" applyFont="1" applyFill="1" applyBorder="1"/>
    <xf numFmtId="166" fontId="4" fillId="2" borderId="11" xfId="0" applyNumberFormat="1" applyFont="1" applyFill="1" applyBorder="1" applyAlignment="1">
      <alignment horizontal="center"/>
    </xf>
    <xf numFmtId="166" fontId="4" fillId="2" borderId="3" xfId="0" applyNumberFormat="1" applyFont="1" applyFill="1" applyBorder="1" applyAlignment="1">
      <alignment horizontal="center"/>
    </xf>
    <xf numFmtId="166" fontId="4" fillId="2" borderId="1" xfId="1" applyNumberFormat="1" applyFont="1" applyFill="1" applyBorder="1" applyAlignment="1"/>
    <xf numFmtId="0" fontId="4" fillId="2" borderId="12" xfId="0" applyFont="1" applyFill="1" applyBorder="1"/>
    <xf numFmtId="165" fontId="4" fillId="5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44" fontId="4" fillId="5" borderId="0" xfId="1" applyFont="1" applyFill="1" applyBorder="1" applyAlignment="1">
      <alignment horizontal="center"/>
    </xf>
    <xf numFmtId="0" fontId="4" fillId="5" borderId="0" xfId="0" applyFont="1" applyFill="1" applyAlignment="1">
      <alignment horizontal="left"/>
    </xf>
    <xf numFmtId="44" fontId="4" fillId="5" borderId="0" xfId="1" applyFont="1" applyFill="1" applyAlignment="1">
      <alignment horizontal="center"/>
    </xf>
    <xf numFmtId="44" fontId="4" fillId="5" borderId="0" xfId="1" quotePrefix="1" applyFont="1" applyFill="1" applyAlignment="1">
      <alignment horizontal="center"/>
    </xf>
    <xf numFmtId="44" fontId="4" fillId="5" borderId="0" xfId="0" applyNumberFormat="1" applyFont="1" applyFill="1" applyAlignment="1">
      <alignment horizontal="left"/>
    </xf>
    <xf numFmtId="0" fontId="4" fillId="5" borderId="0" xfId="0" applyFont="1" applyFill="1" applyAlignment="1">
      <alignment horizontal="right"/>
    </xf>
    <xf numFmtId="165" fontId="4" fillId="5" borderId="0" xfId="0" applyNumberFormat="1" applyFont="1" applyFill="1"/>
    <xf numFmtId="0" fontId="4" fillId="5" borderId="0" xfId="1" applyNumberFormat="1" applyFont="1" applyFill="1" applyBorder="1" applyAlignment="1">
      <alignment horizontal="center"/>
    </xf>
    <xf numFmtId="166" fontId="4" fillId="5" borderId="0" xfId="1" applyNumberFormat="1" applyFont="1" applyFill="1" applyAlignment="1">
      <alignment horizontal="center"/>
    </xf>
    <xf numFmtId="166" fontId="4" fillId="5" borderId="0" xfId="1" applyNumberFormat="1" applyFont="1" applyFill="1"/>
    <xf numFmtId="0" fontId="4" fillId="5" borderId="0" xfId="0" applyFont="1" applyFill="1"/>
    <xf numFmtId="44" fontId="4" fillId="5" borderId="0" xfId="1" applyFont="1" applyFill="1"/>
    <xf numFmtId="0" fontId="3" fillId="5" borderId="0" xfId="0" applyFont="1" applyFill="1"/>
    <xf numFmtId="44" fontId="3" fillId="5" borderId="0" xfId="1" applyFont="1" applyFill="1"/>
    <xf numFmtId="166" fontId="3" fillId="5" borderId="0" xfId="1" applyNumberFormat="1" applyFont="1" applyFill="1"/>
    <xf numFmtId="164" fontId="4" fillId="2" borderId="1" xfId="0" applyNumberFormat="1" applyFont="1" applyFill="1" applyBorder="1" applyAlignment="1">
      <alignment horizontal="left"/>
    </xf>
    <xf numFmtId="9" fontId="4" fillId="2" borderId="1" xfId="2" applyFont="1" applyFill="1" applyBorder="1" applyAlignment="1">
      <alignment horizontal="center"/>
    </xf>
    <xf numFmtId="0" fontId="0" fillId="2" borderId="0" xfId="0" applyFill="1"/>
    <xf numFmtId="0" fontId="0" fillId="6" borderId="1" xfId="0" applyFill="1" applyBorder="1"/>
    <xf numFmtId="0" fontId="0" fillId="7" borderId="1" xfId="0" applyFill="1" applyBorder="1"/>
    <xf numFmtId="165" fontId="2" fillId="4" borderId="1" xfId="0" applyNumberFormat="1" applyFont="1" applyFill="1" applyBorder="1" applyAlignment="1">
      <alignment horizontal="left"/>
    </xf>
    <xf numFmtId="166" fontId="4" fillId="6" borderId="1" xfId="1" applyNumberFormat="1" applyFont="1" applyFill="1" applyBorder="1"/>
    <xf numFmtId="166" fontId="4" fillId="6" borderId="1" xfId="0" applyNumberFormat="1" applyFont="1" applyFill="1" applyBorder="1"/>
    <xf numFmtId="0" fontId="3" fillId="6" borderId="1" xfId="0" applyFont="1" applyFill="1" applyBorder="1" applyAlignment="1">
      <alignment horizontal="left"/>
    </xf>
    <xf numFmtId="44" fontId="3" fillId="6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6" fontId="0" fillId="6" borderId="1" xfId="1" applyNumberFormat="1" applyFont="1" applyFill="1" applyBorder="1"/>
    <xf numFmtId="9" fontId="0" fillId="2" borderId="1" xfId="2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13"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6" formatCode="_-[$$-409]* #,##0.00_ ;_-[$$-409]* \-#,##0.00\ ;_-[$$-409]* &quot;-&quot;??_ ;_-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5" formatCode="dd/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mic Sans MS"/>
        <family val="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omic Sans MS"/>
        <family val="4"/>
        <scheme val="none"/>
      </font>
      <alignment horizontal="center" vertical="bottom" textRotation="0" wrapText="0" indent="0" justifyLastLine="0" shrinkToFit="0" readingOrder="0"/>
    </dxf>
    <dxf>
      <fill>
        <patternFill>
          <bgColor theme="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/>
        <top/>
        <bottom/>
        <vertical/>
        <horizontal/>
      </border>
    </dxf>
  </dxfs>
  <tableStyles count="2" defaultTableStyle="TableStyleMedium9" defaultPivotStyle="PivotStyleLight16">
    <tableStyle name="Tracking table" pivot="0" count="0" xr9:uid="{88815A96-0DF6-4017-8492-6A879ED5C492}"/>
    <tableStyle name="Tracking Table 1" pivot="0" count="2" xr9:uid="{E8395723-409A-4BE8-B2D2-23E4458724D1}">
      <tableStyleElement type="wholeTable" dxfId="12"/>
      <tableStyleElement type="headerRow" dxfId="11"/>
    </tableStyle>
  </tableStyles>
  <colors>
    <mruColors>
      <color rgb="FFFF0000"/>
      <color rgb="FFFF6600"/>
      <color rgb="FFFFFF00"/>
      <color rgb="FF212296"/>
      <color rgb="FFF78009"/>
      <color rgb="FFFD8D81"/>
      <color rgb="FF77B1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3.8790629246823846E-2"/>
          <c:w val="1"/>
          <c:h val="0.70338648746368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'Balance &amp; Tracking'!$E$3</c:f>
              <c:strCache>
                <c:ptCount val="1"/>
                <c:pt idx="0">
                  <c:v>Bills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Tracking'!$F$3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2-4950-87A0-ABDC1D20D3E7}"/>
            </c:ext>
          </c:extLst>
        </c:ser>
        <c:ser>
          <c:idx val="1"/>
          <c:order val="1"/>
          <c:tx>
            <c:strRef>
              <c:f>'Balance &amp; Tracking'!$E$4</c:f>
              <c:strCache>
                <c:ptCount val="1"/>
                <c:pt idx="0">
                  <c:v>Car 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Tracking'!$F$4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32-4950-87A0-ABDC1D20D3E7}"/>
            </c:ext>
          </c:extLst>
        </c:ser>
        <c:ser>
          <c:idx val="2"/>
          <c:order val="2"/>
          <c:tx>
            <c:strRef>
              <c:f>'Balance &amp; Tracking'!$E$5</c:f>
              <c:strCache>
                <c:ptCount val="1"/>
                <c:pt idx="0">
                  <c:v>Clothing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Tracking'!$F$5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32-4950-87A0-ABDC1D20D3E7}"/>
            </c:ext>
          </c:extLst>
        </c:ser>
        <c:ser>
          <c:idx val="3"/>
          <c:order val="3"/>
          <c:tx>
            <c:strRef>
              <c:f>'Balance &amp; Tracking'!$E$6</c:f>
              <c:strCache>
                <c:ptCount val="1"/>
                <c:pt idx="0">
                  <c:v>Eletron n' games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Tracking'!$F$6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32-4950-87A0-ABDC1D20D3E7}"/>
            </c:ext>
          </c:extLst>
        </c:ser>
        <c:ser>
          <c:idx val="4"/>
          <c:order val="4"/>
          <c:tx>
            <c:strRef>
              <c:f>'Balance &amp; Tracking'!$E$7</c:f>
              <c:strCache>
                <c:ptCount val="1"/>
                <c:pt idx="0">
                  <c:v>Food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Tracking'!$F$7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32-4950-87A0-ABDC1D20D3E7}"/>
            </c:ext>
          </c:extLst>
        </c:ser>
        <c:ser>
          <c:idx val="5"/>
          <c:order val="5"/>
          <c:tx>
            <c:strRef>
              <c:f>'Balance &amp; Tracking'!$E$8</c:f>
              <c:strCache>
                <c:ptCount val="1"/>
                <c:pt idx="0">
                  <c:v>Gasolina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Tracking'!$F$8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32-4950-87A0-ABDC1D20D3E7}"/>
            </c:ext>
          </c:extLst>
        </c:ser>
        <c:ser>
          <c:idx val="6"/>
          <c:order val="6"/>
          <c:tx>
            <c:strRef>
              <c:f>'Balance &amp; Tracking'!$E$9</c:f>
              <c:strCache>
                <c:ptCount val="1"/>
                <c:pt idx="0">
                  <c:v>Hang out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</a:schemeClr>
                </a:gs>
                <a:gs pos="75000">
                  <a:schemeClr val="accent1">
                    <a:lumMod val="60000"/>
                    <a:lumMod val="60000"/>
                    <a:lumOff val="40000"/>
                  </a:schemeClr>
                </a:gs>
                <a:gs pos="51000">
                  <a:schemeClr val="accent1">
                    <a:lumMod val="60000"/>
                    <a:alpha val="75000"/>
                  </a:schemeClr>
                </a:gs>
                <a:gs pos="100000">
                  <a:schemeClr val="accent1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Tracking'!$F$9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32-4950-87A0-ABDC1D20D3E7}"/>
            </c:ext>
          </c:extLst>
        </c:ser>
        <c:ser>
          <c:idx val="7"/>
          <c:order val="7"/>
          <c:tx>
            <c:strRef>
              <c:f>'Balance &amp; Tracking'!$E$10</c:f>
              <c:strCache>
                <c:ptCount val="1"/>
                <c:pt idx="0">
                  <c:v>Healthcare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0000"/>
                  </a:schemeClr>
                </a:gs>
                <a:gs pos="75000">
                  <a:schemeClr val="accent2">
                    <a:lumMod val="60000"/>
                    <a:lumMod val="60000"/>
                    <a:lumOff val="40000"/>
                  </a:schemeClr>
                </a:gs>
                <a:gs pos="51000">
                  <a:schemeClr val="accent2">
                    <a:lumMod val="60000"/>
                    <a:alpha val="75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Tracking'!$F$10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32-4950-87A0-ABDC1D20D3E7}"/>
            </c:ext>
          </c:extLst>
        </c:ser>
        <c:ser>
          <c:idx val="8"/>
          <c:order val="8"/>
          <c:tx>
            <c:strRef>
              <c:f>'Balance &amp; Tracking'!$E$11</c:f>
              <c:strCache>
                <c:ptCount val="1"/>
                <c:pt idx="0">
                  <c:v>Insurance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60000"/>
                  </a:schemeClr>
                </a:gs>
                <a:gs pos="75000">
                  <a:schemeClr val="accent3">
                    <a:lumMod val="60000"/>
                    <a:lumMod val="60000"/>
                    <a:lumOff val="40000"/>
                  </a:schemeClr>
                </a:gs>
                <a:gs pos="51000">
                  <a:schemeClr val="accent3">
                    <a:lumMod val="60000"/>
                    <a:alpha val="75000"/>
                  </a:schemeClr>
                </a:gs>
                <a:gs pos="100000">
                  <a:schemeClr val="accent3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Tracking'!$F$11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32-4950-87A0-ABDC1D20D3E7}"/>
            </c:ext>
          </c:extLst>
        </c:ser>
        <c:ser>
          <c:idx val="9"/>
          <c:order val="9"/>
          <c:tx>
            <c:strRef>
              <c:f>'Balance &amp; Tracking'!$E$12</c:f>
              <c:strCache>
                <c:ptCount val="1"/>
                <c:pt idx="0">
                  <c:v>Personal Care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60000"/>
                  </a:schemeClr>
                </a:gs>
                <a:gs pos="75000">
                  <a:schemeClr val="accent4">
                    <a:lumMod val="60000"/>
                    <a:lumMod val="60000"/>
                    <a:lumOff val="40000"/>
                  </a:schemeClr>
                </a:gs>
                <a:gs pos="51000">
                  <a:schemeClr val="accent4">
                    <a:lumMod val="60000"/>
                    <a:alpha val="75000"/>
                  </a:schemeClr>
                </a:gs>
                <a:gs pos="100000">
                  <a:schemeClr val="accent4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Tracking'!$F$12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C-4D1B-8BF0-9BBD4C8696AA}"/>
            </c:ext>
          </c:extLst>
        </c:ser>
        <c:ser>
          <c:idx val="10"/>
          <c:order val="10"/>
          <c:tx>
            <c:strRef>
              <c:f>'Balance &amp; Tracking'!$E$13</c:f>
              <c:strCache>
                <c:ptCount val="1"/>
                <c:pt idx="0">
                  <c:v>Travel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60000"/>
                  </a:schemeClr>
                </a:gs>
                <a:gs pos="75000">
                  <a:schemeClr val="accent5">
                    <a:lumMod val="60000"/>
                    <a:lumMod val="60000"/>
                    <a:lumOff val="40000"/>
                  </a:schemeClr>
                </a:gs>
                <a:gs pos="51000">
                  <a:schemeClr val="accent5">
                    <a:lumMod val="60000"/>
                    <a:alpha val="75000"/>
                  </a:schemeClr>
                </a:gs>
                <a:gs pos="100000">
                  <a:schemeClr val="accent5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Tracking'!$F$13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C-4D1B-8BF0-9BBD4C8696AA}"/>
            </c:ext>
          </c:extLst>
        </c:ser>
        <c:ser>
          <c:idx val="11"/>
          <c:order val="11"/>
          <c:tx>
            <c:strRef>
              <c:f>'Balance &amp; Tracking'!$E$14</c:f>
              <c:strCache>
                <c:ptCount val="1"/>
                <c:pt idx="0">
                  <c:v>General expen.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60000"/>
                  </a:schemeClr>
                </a:gs>
                <a:gs pos="75000">
                  <a:schemeClr val="accent6">
                    <a:lumMod val="60000"/>
                    <a:lumMod val="60000"/>
                    <a:lumOff val="40000"/>
                  </a:schemeClr>
                </a:gs>
                <a:gs pos="51000">
                  <a:schemeClr val="accent6">
                    <a:lumMod val="60000"/>
                    <a:alpha val="75000"/>
                  </a:schemeClr>
                </a:gs>
                <a:gs pos="100000">
                  <a:schemeClr val="accent6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Tracking'!$F$2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Tracking'!$F$14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C-4D1B-8BF0-9BBD4C869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125500831"/>
        <c:axId val="1885921055"/>
      </c:barChart>
      <c:catAx>
        <c:axId val="212550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5921055"/>
        <c:crosses val="autoZero"/>
        <c:auto val="1"/>
        <c:lblAlgn val="ctr"/>
        <c:lblOffset val="100"/>
        <c:noMultiLvlLbl val="0"/>
      </c:catAx>
      <c:valAx>
        <c:axId val="1885921055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212550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3110555609541981"/>
          <c:w val="1"/>
          <c:h val="0.168894443904580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78717146972417"/>
          <c:y val="0"/>
          <c:w val="0.85821282853027581"/>
          <c:h val="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'Graphic Categories'!$C$5</c:f>
              <c:strCache>
                <c:ptCount val="1"/>
                <c:pt idx="0">
                  <c:v>Amount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'Graphic Categories'!$B$6:$B$17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'Graphic Categories'!$C$6:$C$17</c:f>
              <c:numCache>
                <c:formatCode>_-[$$-409]* #,##0.00_ ;_-[$$-409]* \-#,##0.00\ ;_-[$$-409]* "-"??_ ;_-@_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F-4F8F-B475-A1E2E6590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58"/>
        <c:axId val="128784240"/>
        <c:axId val="1981972528"/>
      </c:barChart>
      <c:catAx>
        <c:axId val="128784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1972528"/>
        <c:crosses val="autoZero"/>
        <c:auto val="1"/>
        <c:lblAlgn val="ctr"/>
        <c:lblOffset val="100"/>
        <c:noMultiLvlLbl val="0"/>
      </c:catAx>
      <c:valAx>
        <c:axId val="1981972528"/>
        <c:scaling>
          <c:orientation val="minMax"/>
        </c:scaling>
        <c:delete val="1"/>
        <c:axPos val="t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crossAx val="12878424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19363859177192"/>
          <c:y val="0"/>
          <c:w val="0.85480636140822808"/>
          <c:h val="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'Graphic Categories'!$J$5</c:f>
              <c:strCache>
                <c:ptCount val="1"/>
                <c:pt idx="0">
                  <c:v> Amount 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'Graphic Categories'!$I$6:$I$17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'Graphic Categories'!$J$6:$J$17</c:f>
              <c:numCache>
                <c:formatCode>_-[$$-409]* #,##0.00_ ;_-[$$-409]* \-#,##0.00\ ;_-[$$-409]* "-"??_ ;_-@_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E-409B-8C34-E661A1256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58"/>
        <c:axId val="313549504"/>
        <c:axId val="307726576"/>
      </c:barChart>
      <c:catAx>
        <c:axId val="3135495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7726576"/>
        <c:crosses val="autoZero"/>
        <c:auto val="1"/>
        <c:lblAlgn val="ctr"/>
        <c:lblOffset val="100"/>
        <c:noMultiLvlLbl val="0"/>
      </c:catAx>
      <c:valAx>
        <c:axId val="307726576"/>
        <c:scaling>
          <c:orientation val="minMax"/>
        </c:scaling>
        <c:delete val="1"/>
        <c:axPos val="t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crossAx val="313549504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646498926696876E-2"/>
          <c:y val="4.2005550024641049E-2"/>
          <c:w val="0.89399291998139097"/>
          <c:h val="0.80021675304815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'Graphic Annual'!$C$2</c:f>
              <c:strCache>
                <c:ptCount val="1"/>
                <c:pt idx="0">
                  <c:v>Net Income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'Graphic Annual'!$A$3:$A$14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'Graphic Annual'!$C$3:$C$14</c:f>
              <c:numCache>
                <c:formatCode>_-[$$-409]* #,##0.00_ ;_-[$$-409]* \-#,##0.00\ ;_-[$$-409]* "-"??_ ;_-@_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1-4C5F-8E3C-CD0002F93C64}"/>
            </c:ext>
          </c:extLst>
        </c:ser>
        <c:ser>
          <c:idx val="2"/>
          <c:order val="2"/>
          <c:tx>
            <c:strRef>
              <c:f>'Graphic Annual'!$F$2</c:f>
              <c:strCache>
                <c:ptCount val="1"/>
                <c:pt idx="0">
                  <c:v>Expenses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'Graphic Annual'!$A$3:$A$14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'Graphic Annual'!$F$3:$F$14</c:f>
              <c:numCache>
                <c:formatCode>_-[$$-409]* #,##0.00_ ;_-[$$-409]* \-#,##0.00\ ;_-[$$-409]* "-"??_ ;_-@_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90393455"/>
        <c:axId val="586649311"/>
      </c:barChart>
      <c:lineChart>
        <c:grouping val="standard"/>
        <c:varyColors val="0"/>
        <c:ser>
          <c:idx val="1"/>
          <c:order val="1"/>
          <c:tx>
            <c:strRef>
              <c:f>'Graphic Annual'!$D$2</c:f>
              <c:strCache>
                <c:ptCount val="1"/>
                <c:pt idx="0">
                  <c:v>Investments</c:v>
                </c:pt>
              </c:strCache>
            </c:strRef>
          </c:tx>
          <c:spPr>
            <a:ln w="34925" cap="rnd">
              <a:solidFill>
                <a:schemeClr val="accent6">
                  <a:lumMod val="75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'Graphic Annual'!$A$3:$A$14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'Graphic Annual'!$D$3:$D$14</c:f>
              <c:numCache>
                <c:formatCode>_-[$$-409]* #,##0.00_ ;_-[$$-409]* \-#,##0.00\ ;_-[$$-409]* "-"??_ ;_-@_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393455"/>
        <c:axId val="586649311"/>
      </c:lineChart>
      <c:scatterChart>
        <c:scatterStyle val="lineMarker"/>
        <c:varyColors val="0"/>
        <c:ser>
          <c:idx val="3"/>
          <c:order val="3"/>
          <c:tx>
            <c:v>Real Balance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dash"/>
            <c:size val="20"/>
            <c:spPr>
              <a:solidFill>
                <a:schemeClr val="accent3">
                  <a:lumMod val="75000"/>
                  <a:alpha val="50000"/>
                </a:schemeClr>
              </a:solidFill>
              <a:ln w="25400">
                <a:solidFill>
                  <a:srgbClr val="FF0000">
                    <a:alpha val="50000"/>
                  </a:srgb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yVal>
            <c:numRef>
              <c:f>'Graphic Annual'!$I$3:$I$14</c:f>
              <c:numCache>
                <c:formatCode>_-[$$-409]* #,##0.00_ ;_-[$$-409]* \-#,##0.00\ ;_-[$$-409]* "-"??_ ;_-@_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87-4164-865E-BEA342119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393455"/>
        <c:axId val="586649311"/>
      </c:scatterChart>
      <c:catAx>
        <c:axId val="59039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649311"/>
        <c:crosses val="autoZero"/>
        <c:auto val="1"/>
        <c:lblAlgn val="ctr"/>
        <c:lblOffset val="100"/>
        <c:noMultiLvlLbl val="0"/>
      </c:catAx>
      <c:valAx>
        <c:axId val="5866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39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'Graphic Annual'!$K$2:$K$10</c15:sqref>
                  </c15:fullRef>
                </c:ext>
              </c:extLst>
              <c:f>('Graphic Annual'!$K$3:$K$7,'Graphic Annual'!$K$10)</c:f>
              <c:strCache>
                <c:ptCount val="6"/>
                <c:pt idx="0">
                  <c:v>Gross Income</c:v>
                </c:pt>
                <c:pt idx="1">
                  <c:v>Discount</c:v>
                </c:pt>
                <c:pt idx="2">
                  <c:v>Net Income</c:v>
                </c:pt>
                <c:pt idx="3">
                  <c:v>Fixed Expen.</c:v>
                </c:pt>
                <c:pt idx="4">
                  <c:v>General Expen.</c:v>
                </c:pt>
                <c:pt idx="5">
                  <c:v>Investments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'Graphic Annual'!$L$2:$L$10</c15:sqref>
                  </c15:fullRef>
                </c:ext>
              </c:extLst>
              <c:f>('Graphic Annual'!$L$3:$L$7,'Graphic Annual'!$L$10)</c:f>
              <c:numCache>
                <c:formatCode>_-[$$-409]* #,##0.00_ ;_-[$$-409]* \-#,##0.00\ ;_-[$$-409]* "-"??_ ;_-@_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5-4794-9E2F-2E3C31013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6559"/>
        <c:axId val="679944159"/>
      </c:barChart>
      <c:catAx>
        <c:axId val="67994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44159"/>
        <c:crosses val="autoZero"/>
        <c:auto val="1"/>
        <c:lblAlgn val="ctr"/>
        <c:lblOffset val="100"/>
        <c:noMultiLvlLbl val="0"/>
      </c:catAx>
      <c:valAx>
        <c:axId val="6799441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994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'Graphic Annual'!$N$3:$N$13</c:f>
              <c:strCache>
                <c:ptCount val="11"/>
                <c:pt idx="0">
                  <c:v>Bills</c:v>
                </c:pt>
                <c:pt idx="1">
                  <c:v>Car </c:v>
                </c:pt>
                <c:pt idx="2">
                  <c:v>Clothing</c:v>
                </c:pt>
                <c:pt idx="3">
                  <c:v>Eletron n' games</c:v>
                </c:pt>
                <c:pt idx="4">
                  <c:v>Food</c:v>
                </c:pt>
                <c:pt idx="5">
                  <c:v>Gasolina</c:v>
                </c:pt>
                <c:pt idx="6">
                  <c:v>Hang out</c:v>
                </c:pt>
                <c:pt idx="7">
                  <c:v>Healthcare</c:v>
                </c:pt>
                <c:pt idx="8">
                  <c:v>Insurance</c:v>
                </c:pt>
                <c:pt idx="9">
                  <c:v>Personal Care</c:v>
                </c:pt>
                <c:pt idx="10">
                  <c:v>Travel</c:v>
                </c:pt>
              </c:strCache>
            </c:strRef>
          </c:cat>
          <c:val>
            <c:numRef>
              <c:f>'Graphic Annual'!$O$3:$O$13</c:f>
              <c:numCache>
                <c:formatCode>_-[$$-409]* #,##0.00_ ;_-[$$-409]* \-#,##0.00\ ;_-[$$-409]* "-"??_ ;_-@_ 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2-45E9-AD95-0F551541B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0799"/>
        <c:axId val="679938399"/>
      </c:barChart>
      <c:catAx>
        <c:axId val="67994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38399"/>
        <c:crosses val="autoZero"/>
        <c:auto val="1"/>
        <c:lblAlgn val="ctr"/>
        <c:lblOffset val="100"/>
        <c:noMultiLvlLbl val="0"/>
      </c:catAx>
      <c:valAx>
        <c:axId val="679938399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6799407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</xdr:colOff>
      <xdr:row>0</xdr:row>
      <xdr:rowOff>21124</xdr:rowOff>
    </xdr:from>
    <xdr:to>
      <xdr:col>8</xdr:col>
      <xdr:colOff>0</xdr:colOff>
      <xdr:row>14</xdr:row>
      <xdr:rowOff>9389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91BF35-A245-4C59-B241-9CB6ACA79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4658</xdr:colOff>
      <xdr:row>3</xdr:row>
      <xdr:rowOff>189574</xdr:rowOff>
    </xdr:from>
    <xdr:to>
      <xdr:col>6</xdr:col>
      <xdr:colOff>578697</xdr:colOff>
      <xdr:row>24</xdr:row>
      <xdr:rowOff>37465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F1A89A-1F34-E2C8-DAEF-21E74628F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7528</xdr:colOff>
      <xdr:row>4</xdr:row>
      <xdr:rowOff>3662</xdr:rowOff>
    </xdr:from>
    <xdr:to>
      <xdr:col>14</xdr:col>
      <xdr:colOff>366548</xdr:colOff>
      <xdr:row>24</xdr:row>
      <xdr:rowOff>43939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F7FA5FC-900E-AB25-6602-3A4F3C31F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6328</xdr:colOff>
      <xdr:row>0</xdr:row>
      <xdr:rowOff>0</xdr:rowOff>
    </xdr:from>
    <xdr:to>
      <xdr:col>10</xdr:col>
      <xdr:colOff>27150</xdr:colOff>
      <xdr:row>26</xdr:row>
      <xdr:rowOff>38994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BB5BA1-CE3F-4E37-934C-7DCBD3FD3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25275</xdr:colOff>
      <xdr:row>0</xdr:row>
      <xdr:rowOff>33949</xdr:rowOff>
    </xdr:from>
    <xdr:to>
      <xdr:col>16</xdr:col>
      <xdr:colOff>6</xdr:colOff>
      <xdr:row>13</xdr:row>
      <xdr:rowOff>33593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CC7714-0040-4DC7-978A-7BFFC7D52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25610</xdr:colOff>
      <xdr:row>13</xdr:row>
      <xdr:rowOff>7331</xdr:rowOff>
    </xdr:from>
    <xdr:to>
      <xdr:col>16</xdr:col>
      <xdr:colOff>1391</xdr:colOff>
      <xdr:row>26</xdr:row>
      <xdr:rowOff>25081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8DE9EA-0077-471B-9A96-00B75572E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BA625-5E32-4F47-8323-C47308DEF24A}" name="Tabela1" displayName="Tabela1" ref="B16:H20" insertRowShift="1" totalsRowShown="0" headerRowDxfId="10" dataDxfId="9">
  <autoFilter ref="B16:H20" xr:uid="{739BA625-5E32-4F47-8323-C47308DEF24A}"/>
  <sortState xmlns:xlrd2="http://schemas.microsoft.com/office/spreadsheetml/2017/richdata2" ref="B17:H29">
    <sortCondition ref="B16:B29"/>
  </sortState>
  <tableColumns count="7">
    <tableColumn id="1" xr3:uid="{F0A7AC4E-C2B6-48F0-8ABD-146393E8FC69}" name="Date" dataDxfId="8"/>
    <tableColumn id="2" xr3:uid="{684795FD-753E-4C1F-B63E-5EE124E9D624}" name="Month" dataDxfId="7">
      <calculatedColumnFormula>IF(ISBLANK(B17),"",PROPER(TEXT(B17,"MMMM")))</calculatedColumnFormula>
    </tableColumn>
    <tableColumn id="6" xr3:uid="{23818CCC-08C7-4066-9B86-98D831460C75}" name="Operation" dataDxfId="6"/>
    <tableColumn id="3" xr3:uid="{78815540-1C3C-4370-A3E4-1C8E033CFC39}" name="Category" dataDxfId="5"/>
    <tableColumn id="7" xr3:uid="{F153B94E-6C60-4C63-A86C-8519A94E1F13}" name="Account" dataDxfId="4"/>
    <tableColumn id="4" xr3:uid="{EE54C9A2-2D53-4D6A-93DF-88B691A8C3D9}" name="Amount" dataDxfId="3" dataCellStyle="Moeda"/>
    <tableColumn id="5" xr3:uid="{28149A80-D409-4A63-B4C2-6EDA92C21F54}" name="Description" dataDxfId="2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3379-970E-4EAE-8D75-6CE2D033D7D2}">
  <sheetPr>
    <tabColor theme="0"/>
  </sheetPr>
  <dimension ref="B2:P16"/>
  <sheetViews>
    <sheetView zoomScale="120" zoomScaleNormal="120" workbookViewId="0">
      <selection activeCell="B2" sqref="B2"/>
    </sheetView>
  </sheetViews>
  <sheetFormatPr defaultRowHeight="14.3" x14ac:dyDescent="0.25"/>
  <cols>
    <col min="1" max="1" width="3.5703125" style="72" customWidth="1"/>
    <col min="2" max="2" width="11.42578125" style="72" customWidth="1"/>
    <col min="3" max="3" width="3.5703125" style="72" customWidth="1"/>
    <col min="4" max="4" width="17.140625" style="72" customWidth="1"/>
    <col min="5" max="5" width="3.5703125" style="72" customWidth="1"/>
    <col min="6" max="6" width="17.140625" style="72" customWidth="1"/>
    <col min="7" max="7" width="3.5703125" style="72" customWidth="1"/>
    <col min="8" max="8" width="17.140625" style="72" customWidth="1"/>
    <col min="9" max="9" width="3.5703125" style="72" customWidth="1"/>
    <col min="10" max="10" width="17.140625" style="72" customWidth="1"/>
    <col min="11" max="11" width="3.5703125" style="72" customWidth="1"/>
    <col min="12" max="12" width="11.42578125" style="72" customWidth="1"/>
    <col min="13" max="13" width="3.5703125" style="72" customWidth="1"/>
    <col min="14" max="14" width="17.140625" style="72" customWidth="1"/>
    <col min="15" max="15" width="3.5703125" style="72" customWidth="1"/>
    <col min="16" max="16" width="11.42578125" style="72" customWidth="1"/>
    <col min="17" max="16384" width="9.140625" style="72"/>
  </cols>
  <sheetData>
    <row r="2" spans="2:16" x14ac:dyDescent="0.25">
      <c r="B2" s="72" t="s">
        <v>74</v>
      </c>
    </row>
    <row r="4" spans="2:16" ht="15" x14ac:dyDescent="0.3">
      <c r="B4" s="28" t="s">
        <v>76</v>
      </c>
      <c r="D4" s="28" t="s">
        <v>21</v>
      </c>
      <c r="F4" s="28" t="s">
        <v>35</v>
      </c>
      <c r="H4" s="28" t="s">
        <v>46</v>
      </c>
      <c r="J4" s="28" t="s">
        <v>88</v>
      </c>
      <c r="L4" s="28" t="s">
        <v>69</v>
      </c>
      <c r="N4" s="28" t="s">
        <v>32</v>
      </c>
      <c r="P4" s="28" t="s">
        <v>70</v>
      </c>
    </row>
    <row r="5" spans="2:16" x14ac:dyDescent="0.25">
      <c r="B5" s="73" t="s">
        <v>24</v>
      </c>
      <c r="D5" s="73" t="s">
        <v>54</v>
      </c>
      <c r="F5" s="73" t="s">
        <v>72</v>
      </c>
      <c r="H5" s="73" t="s">
        <v>47</v>
      </c>
      <c r="J5" s="74" t="s">
        <v>87</v>
      </c>
      <c r="L5" s="74" t="str" cm="1">
        <f t="array" ref="L5:L8">Transfer</f>
        <v>Bank 1</v>
      </c>
      <c r="N5" s="74" t="str" cm="1">
        <f t="array" ref="N5:N9">Income</f>
        <v>Salary</v>
      </c>
      <c r="P5" s="74" t="s">
        <v>7</v>
      </c>
    </row>
    <row r="6" spans="2:16" x14ac:dyDescent="0.25">
      <c r="B6" s="73" t="s">
        <v>25</v>
      </c>
      <c r="D6" s="73" t="s">
        <v>73</v>
      </c>
      <c r="F6" s="73" t="s">
        <v>71</v>
      </c>
      <c r="H6" s="73" t="s">
        <v>48</v>
      </c>
      <c r="L6" s="74" t="str">
        <v>Bank 2</v>
      </c>
      <c r="N6" s="74" t="str">
        <v>Seals</v>
      </c>
      <c r="P6" s="74" t="s">
        <v>8</v>
      </c>
    </row>
    <row r="7" spans="2:16" x14ac:dyDescent="0.25">
      <c r="B7" s="73" t="s">
        <v>26</v>
      </c>
      <c r="D7" s="73" t="s">
        <v>55</v>
      </c>
      <c r="H7" s="73" t="s">
        <v>68</v>
      </c>
      <c r="L7" s="74" t="str">
        <v>Wallet</v>
      </c>
      <c r="N7" s="74" t="str">
        <v>Rent</v>
      </c>
      <c r="P7" s="74" t="s">
        <v>9</v>
      </c>
    </row>
    <row r="8" spans="2:16" ht="15" x14ac:dyDescent="0.3">
      <c r="B8" s="73" t="s">
        <v>75</v>
      </c>
      <c r="D8" s="73" t="s">
        <v>56</v>
      </c>
      <c r="F8" s="28" t="s">
        <v>41</v>
      </c>
      <c r="H8" s="73" t="s">
        <v>61</v>
      </c>
      <c r="L8" s="74" t="str">
        <v>Savings</v>
      </c>
      <c r="N8" s="74" t="str">
        <v>Seals II</v>
      </c>
      <c r="P8" s="74" t="s">
        <v>10</v>
      </c>
    </row>
    <row r="9" spans="2:16" x14ac:dyDescent="0.25">
      <c r="B9" s="74" t="s">
        <v>87</v>
      </c>
      <c r="D9" s="73" t="s">
        <v>53</v>
      </c>
      <c r="F9" s="73" t="s">
        <v>51</v>
      </c>
      <c r="H9" s="73" t="s">
        <v>49</v>
      </c>
      <c r="N9" s="74" t="str">
        <v>Other - Income</v>
      </c>
      <c r="P9" s="74" t="s">
        <v>11</v>
      </c>
    </row>
    <row r="10" spans="2:16" x14ac:dyDescent="0.25">
      <c r="D10" s="73" t="s">
        <v>5</v>
      </c>
      <c r="F10" s="73" t="s">
        <v>50</v>
      </c>
      <c r="N10" s="74" t="str" cm="1">
        <f t="array" ref="N10:N14">Discount</f>
        <v>Tax I</v>
      </c>
      <c r="P10" s="74" t="s">
        <v>12</v>
      </c>
    </row>
    <row r="11" spans="2:16" x14ac:dyDescent="0.25">
      <c r="D11" s="73" t="s">
        <v>57</v>
      </c>
      <c r="F11" s="73" t="s">
        <v>66</v>
      </c>
      <c r="N11" s="74" t="str">
        <v>Tax II</v>
      </c>
      <c r="P11" s="74" t="s">
        <v>13</v>
      </c>
    </row>
    <row r="12" spans="2:16" x14ac:dyDescent="0.25">
      <c r="D12" s="73" t="s">
        <v>58</v>
      </c>
      <c r="F12" s="73" t="s">
        <v>62</v>
      </c>
      <c r="N12" s="74" t="str">
        <v>Bank Fee I</v>
      </c>
      <c r="P12" s="74" t="s">
        <v>14</v>
      </c>
    </row>
    <row r="13" spans="2:16" x14ac:dyDescent="0.25">
      <c r="D13" s="73" t="s">
        <v>65</v>
      </c>
      <c r="F13" s="73" t="s">
        <v>52</v>
      </c>
      <c r="N13" s="74" t="str">
        <v>Bank Fee II</v>
      </c>
      <c r="P13" s="74" t="s">
        <v>15</v>
      </c>
    </row>
    <row r="14" spans="2:16" x14ac:dyDescent="0.25">
      <c r="D14" s="73" t="s">
        <v>63</v>
      </c>
      <c r="N14" s="74" t="str">
        <v>Other - Discount</v>
      </c>
      <c r="P14" s="74" t="s">
        <v>16</v>
      </c>
    </row>
    <row r="15" spans="2:16" x14ac:dyDescent="0.25">
      <c r="D15" s="73" t="s">
        <v>64</v>
      </c>
      <c r="N15" s="74" t="str" cm="1">
        <f t="array" ref="N15:N16">Investments</f>
        <v>Stock Market</v>
      </c>
      <c r="P15" s="74" t="s">
        <v>17</v>
      </c>
    </row>
    <row r="16" spans="2:16" x14ac:dyDescent="0.25">
      <c r="D16" s="73" t="s">
        <v>59</v>
      </c>
      <c r="N16" s="74" t="str">
        <v>Real Estate</v>
      </c>
      <c r="P16" s="74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935C-8656-4D81-89AE-9797F0D184CE}">
  <sheetPr codeName="Planilha1">
    <tabColor theme="0"/>
  </sheetPr>
  <dimension ref="A1:I785"/>
  <sheetViews>
    <sheetView tabSelected="1" zoomScale="120" zoomScaleNormal="120" workbookViewId="0">
      <pane ySplit="16" topLeftCell="A17" activePane="bottomLeft" state="frozen"/>
      <selection pane="bottomLeft" activeCell="B18" sqref="B18"/>
    </sheetView>
  </sheetViews>
  <sheetFormatPr defaultRowHeight="15" x14ac:dyDescent="0.3"/>
  <cols>
    <col min="1" max="1" width="14.28515625" style="54" customWidth="1"/>
    <col min="2" max="2" width="15.7109375" style="52" customWidth="1"/>
    <col min="3" max="3" width="15.7109375" style="53" customWidth="1"/>
    <col min="4" max="4" width="14.28515625" style="53" customWidth="1"/>
    <col min="5" max="6" width="15.7109375" style="54" customWidth="1"/>
    <col min="7" max="7" width="15.7109375" style="57" customWidth="1"/>
    <col min="8" max="8" width="34.28515625" style="56" customWidth="1"/>
    <col min="9" max="9" width="13.5703125" style="54" customWidth="1"/>
    <col min="10" max="10" width="10" style="54" customWidth="1"/>
    <col min="11" max="16384" width="9.140625" style="54"/>
  </cols>
  <sheetData>
    <row r="1" spans="1:8" ht="3.6" customHeight="1" x14ac:dyDescent="0.3"/>
    <row r="2" spans="1:8" ht="14.3" customHeight="1" x14ac:dyDescent="0.3">
      <c r="B2" s="28" t="s">
        <v>7</v>
      </c>
      <c r="C2" s="28" t="s">
        <v>0</v>
      </c>
      <c r="E2" s="65" t="s">
        <v>19</v>
      </c>
      <c r="F2" s="66" t="s">
        <v>20</v>
      </c>
    </row>
    <row r="3" spans="1:8" ht="14.3" customHeight="1" x14ac:dyDescent="0.3">
      <c r="B3" s="70" t="s">
        <v>21</v>
      </c>
      <c r="C3" s="35">
        <f>IF(B3="Expenses",HLOOKUP(B2,Expenses!B2:M20,19,FALSE),IF(B3="Net Salary",HLOOKUP(B2,'Net Salary'!B2:M16,15,FALSE),""))</f>
        <v>0</v>
      </c>
      <c r="E3" s="56" t="str" cm="1">
        <f t="array" ref="E3:E14">IF(B3="Expenses",Expenses,IF(B3="Net Salary",Net_Salary,""))</f>
        <v>Bills</v>
      </c>
      <c r="F3" s="64" cm="1">
        <f t="array" ref="F3:F14">IF(B3="Expenses",_xlfn._xlws.FILTER(Expenses!B7:M18,Expenses!B2:M2=B2),IF(B3="Net Salary",_xlfn._xlws.FILTER('Net Salary'!B3:M14,'Net Salary'!B2:M2=B2),""))</f>
        <v>0</v>
      </c>
      <c r="H3" s="54"/>
    </row>
    <row r="4" spans="1:8" ht="14.3" customHeight="1" x14ac:dyDescent="0.3">
      <c r="B4" s="15" t="s">
        <v>67</v>
      </c>
      <c r="C4" s="71" t="e">
        <f>HLOOKUP(B2,Expenses!B2:M20,19,FALSE)/HLOOKUP(B2,'Net Salary'!B2:M16,15,FALSE)</f>
        <v>#DIV/0!</v>
      </c>
      <c r="E4" s="56" t="str">
        <v xml:space="preserve">Car </v>
      </c>
      <c r="F4" s="64">
        <v>0</v>
      </c>
      <c r="H4" s="54"/>
    </row>
    <row r="5" spans="1:8" ht="14.3" customHeight="1" x14ac:dyDescent="0.3">
      <c r="B5" s="15" t="s">
        <v>22</v>
      </c>
      <c r="C5" s="35">
        <f>VLOOKUP(B2,'Graphic Annual'!A3:I14,9,FALSE)</f>
        <v>0</v>
      </c>
      <c r="E5" s="56" t="str">
        <v>Clothing</v>
      </c>
      <c r="F5" s="64">
        <v>0</v>
      </c>
      <c r="H5" s="54"/>
    </row>
    <row r="6" spans="1:8" ht="14.3" customHeight="1" x14ac:dyDescent="0.3">
      <c r="B6" s="15" t="s">
        <v>23</v>
      </c>
      <c r="C6" s="35">
        <f>'Graphic Annual'!I15</f>
        <v>0</v>
      </c>
      <c r="E6" s="56" t="str">
        <v>Eletron n' games</v>
      </c>
      <c r="F6" s="64">
        <v>0</v>
      </c>
      <c r="H6" s="54"/>
    </row>
    <row r="7" spans="1:8" ht="14.3" customHeight="1" x14ac:dyDescent="0.3">
      <c r="E7" s="56" t="str">
        <v>Food</v>
      </c>
      <c r="F7" s="64">
        <v>0</v>
      </c>
      <c r="H7" s="54"/>
    </row>
    <row r="8" spans="1:8" ht="14.3" customHeight="1" x14ac:dyDescent="0.3">
      <c r="B8" s="28" t="s">
        <v>76</v>
      </c>
      <c r="C8" s="28" t="s">
        <v>0</v>
      </c>
      <c r="E8" s="56" t="str">
        <v>Gasolina</v>
      </c>
      <c r="F8" s="64">
        <v>0</v>
      </c>
      <c r="H8" s="54"/>
    </row>
    <row r="9" spans="1:8" ht="14.3" customHeight="1" x14ac:dyDescent="0.3">
      <c r="B9" s="15" t="str" cm="1">
        <f t="array" ref="B9:B13">Accounts</f>
        <v>Bank 1</v>
      </c>
      <c r="C9" s="36" cm="1">
        <f t="array" aca="1" ref="C9" ca="1">SUM(SUMIFS(Tabela1[Amount],Tabela1[Operation],{"Income";"Transfer"},Tabela1[Account],B9,Tabela1[Date],"&lt;="&amp;(TODAY())))-SUMIFS(Tabela1[Amount],Tabela1[Operation],"&lt;&gt;Income",Tabela1[Operation],"&lt;&gt;Transfer",Tabela1[Account],B9,Tabela1[Date],"&lt;="&amp;(TODAY())) - SUMIFS(Tabela1[Amount],Tabela1[Category],B9,Tabela1[Date],"&lt;="&amp;(TODAY()))</f>
        <v>150</v>
      </c>
      <c r="E9" s="56" t="str">
        <v>Hang out</v>
      </c>
      <c r="F9" s="64">
        <v>0</v>
      </c>
      <c r="H9" s="54"/>
    </row>
    <row r="10" spans="1:8" ht="14.3" customHeight="1" x14ac:dyDescent="0.3">
      <c r="A10" s="53"/>
      <c r="B10" s="15" t="str">
        <v>Bank 2</v>
      </c>
      <c r="C10" s="36" cm="1">
        <f t="array" aca="1" ref="C10" ca="1">SUM(SUMIFS(Tabela1[Amount],Tabela1[Operation],{"Income";"Transfer"},Tabela1[Account],B10,Tabela1[Date],"&lt;="&amp;(TODAY())))-SUMIFS(Tabela1[Amount],Tabela1[Operation],"&lt;&gt;Income",Tabela1[Operation],"&lt;&gt;Transfer",Tabela1[Account],B10,Tabela1[Date],"&lt;="&amp;(TODAY())) - SUMIFS(Tabela1[Amount],Tabela1[Category],B10,Tabela1[Date],"&lt;="&amp;(TODAY()))</f>
        <v>0</v>
      </c>
      <c r="E10" s="56" t="str">
        <v>Healthcare</v>
      </c>
      <c r="F10" s="64">
        <v>0</v>
      </c>
      <c r="H10" s="54"/>
    </row>
    <row r="11" spans="1:8" ht="14.3" customHeight="1" x14ac:dyDescent="0.3">
      <c r="A11" s="53"/>
      <c r="B11" s="15" t="str">
        <v>Wallet</v>
      </c>
      <c r="C11" s="36" cm="1">
        <f t="array" aca="1" ref="C11" ca="1">SUM(SUMIFS(Tabela1[Amount],Tabela1[Operation],{"Income";"Transfer"},Tabela1[Account],B11,Tabela1[Date],"&lt;="&amp;(TODAY())))-SUMIFS(Tabela1[Amount],Tabela1[Operation],"&lt;&gt;Income",Tabela1[Operation],"&lt;&gt;Transfer",Tabela1[Account],B11,Tabela1[Date],"&lt;="&amp;(TODAY())) - SUMIFS(Tabela1[Amount],Tabela1[Category],B11,Tabela1[Date],"&lt;="&amp;(TODAY()))</f>
        <v>0</v>
      </c>
      <c r="E11" s="56" t="str">
        <v>Insurance</v>
      </c>
      <c r="F11" s="64">
        <v>0</v>
      </c>
      <c r="H11" s="54"/>
    </row>
    <row r="12" spans="1:8" ht="14.3" customHeight="1" x14ac:dyDescent="0.3">
      <c r="A12" s="53"/>
      <c r="B12" s="15" t="str">
        <v>Savings</v>
      </c>
      <c r="C12" s="36" cm="1">
        <f t="array" aca="1" ref="C12" ca="1">SUM(SUMIFS(Tabela1[Amount],Tabela1[Operation],{"Income";"Transfer"},Tabela1[Account],B12,Tabela1[Date],"&lt;="&amp;(TODAY())))-SUMIFS(Tabela1[Amount],Tabela1[Operation],"&lt;&gt;Income",Tabela1[Operation],"&lt;&gt;Transfer",Tabela1[Account],B12,Tabela1[Date],"&lt;="&amp;(TODAY())) - SUMIFS(Tabela1[Amount],Tabela1[Category],B12,Tabela1[Date],"&lt;="&amp;(TODAY()))</f>
        <v>0</v>
      </c>
      <c r="E12" s="56" t="str">
        <v>Personal Care</v>
      </c>
      <c r="F12" s="64">
        <v>0</v>
      </c>
      <c r="H12" s="54"/>
    </row>
    <row r="13" spans="1:8" ht="14.3" customHeight="1" x14ac:dyDescent="0.3">
      <c r="A13" s="53"/>
      <c r="B13" s="15" t="str">
        <v>Credit Card</v>
      </c>
      <c r="C13" s="35">
        <f ca="1">SUMIF(Tabela1[Account],B13,Tabela1[Amount])-SUMIFS(Tabela1[Amount],Tabela1[Category],B13,Tabela1[Date],"&lt;="&amp;(TODAY()))</f>
        <v>0</v>
      </c>
      <c r="E13" s="56" t="str">
        <v>Travel</v>
      </c>
      <c r="F13" s="64">
        <v>0</v>
      </c>
      <c r="H13" s="54"/>
    </row>
    <row r="14" spans="1:8" ht="14.3" customHeight="1" x14ac:dyDescent="0.3">
      <c r="A14" s="53"/>
      <c r="B14" s="15" t="s">
        <v>27</v>
      </c>
      <c r="C14" s="35">
        <f ca="1">ROUND(C5-SUM(C9:C12),2)</f>
        <v>-150</v>
      </c>
      <c r="E14" s="56" t="str">
        <v>General expen.</v>
      </c>
      <c r="F14" s="63">
        <v>0</v>
      </c>
      <c r="H14" s="54"/>
    </row>
    <row r="15" spans="1:8" ht="3.6" customHeight="1" x14ac:dyDescent="0.3">
      <c r="A15" s="60"/>
      <c r="B15" s="54"/>
      <c r="H15" s="54"/>
    </row>
    <row r="16" spans="1:8" ht="14.3" customHeight="1" x14ac:dyDescent="0.3">
      <c r="A16" s="62">
        <f>SUBTOTAL(2,Tabela1[Date])</f>
        <v>1</v>
      </c>
      <c r="B16" s="16" t="s">
        <v>28</v>
      </c>
      <c r="C16" s="17" t="s">
        <v>6</v>
      </c>
      <c r="D16" s="17" t="s">
        <v>29</v>
      </c>
      <c r="E16" s="18" t="s">
        <v>30</v>
      </c>
      <c r="F16" s="18" t="s">
        <v>77</v>
      </c>
      <c r="G16" s="19" t="s">
        <v>20</v>
      </c>
      <c r="H16" s="18" t="s">
        <v>31</v>
      </c>
    </row>
    <row r="17" spans="2:8" ht="13.55" customHeight="1" x14ac:dyDescent="0.3">
      <c r="B17" s="20">
        <v>45292</v>
      </c>
      <c r="C17" s="21" t="str">
        <f t="shared" ref="C17:C20" si="0">IF(ISBLANK(B17),"",PROPER(TEXT(B17,"MMMM")))</f>
        <v>Janeiro</v>
      </c>
      <c r="D17" s="21" t="s">
        <v>46</v>
      </c>
      <c r="E17" s="22" t="s">
        <v>47</v>
      </c>
      <c r="F17" s="22" t="s">
        <v>24</v>
      </c>
      <c r="G17" s="37">
        <v>150</v>
      </c>
      <c r="H17" s="23"/>
    </row>
    <row r="18" spans="2:8" x14ac:dyDescent="0.3">
      <c r="B18" s="20"/>
      <c r="C18" s="21" t="str">
        <f t="shared" si="0"/>
        <v/>
      </c>
      <c r="D18" s="21"/>
      <c r="E18" s="22"/>
      <c r="F18" s="22"/>
      <c r="G18" s="37"/>
      <c r="H18" s="23"/>
    </row>
    <row r="19" spans="2:8" x14ac:dyDescent="0.3">
      <c r="B19" s="20"/>
      <c r="C19" s="21" t="str">
        <f t="shared" si="0"/>
        <v/>
      </c>
      <c r="D19" s="21"/>
      <c r="E19" s="22"/>
      <c r="F19" s="22"/>
      <c r="G19" s="37"/>
      <c r="H19" s="23"/>
    </row>
    <row r="20" spans="2:8" x14ac:dyDescent="0.3">
      <c r="B20" s="20"/>
      <c r="C20" s="21" t="str">
        <f t="shared" si="0"/>
        <v/>
      </c>
      <c r="D20" s="21"/>
      <c r="E20" s="22"/>
      <c r="F20" s="22"/>
      <c r="G20" s="37"/>
      <c r="H20" s="23"/>
    </row>
    <row r="23" spans="2:8" x14ac:dyDescent="0.3">
      <c r="G23" s="55"/>
    </row>
    <row r="25" spans="2:8" x14ac:dyDescent="0.3">
      <c r="G25" s="55"/>
    </row>
    <row r="26" spans="2:8" x14ac:dyDescent="0.3">
      <c r="G26" s="55"/>
    </row>
    <row r="27" spans="2:8" x14ac:dyDescent="0.3">
      <c r="G27" s="55"/>
    </row>
    <row r="28" spans="2:8" x14ac:dyDescent="0.3">
      <c r="G28" s="55"/>
    </row>
    <row r="38" spans="9:9" x14ac:dyDescent="0.3">
      <c r="I38" s="54" t="s">
        <v>4</v>
      </c>
    </row>
    <row r="137" spans="7:7" x14ac:dyDescent="0.3">
      <c r="G137" s="55"/>
    </row>
    <row r="139" spans="7:7" x14ac:dyDescent="0.3">
      <c r="G139" s="55"/>
    </row>
    <row r="140" spans="7:7" x14ac:dyDescent="0.3">
      <c r="G140" s="55"/>
    </row>
    <row r="141" spans="7:7" x14ac:dyDescent="0.3">
      <c r="G141" s="55"/>
    </row>
    <row r="142" spans="7:7" x14ac:dyDescent="0.3">
      <c r="G142" s="55"/>
    </row>
    <row r="248" spans="3:7" x14ac:dyDescent="0.3">
      <c r="C248" s="53" t="str">
        <f>IF(ISBLANK(B248),"",PROPER(TEXT(B248,"MMMM")))</f>
        <v/>
      </c>
    </row>
    <row r="249" spans="3:7" x14ac:dyDescent="0.3">
      <c r="C249" s="53" t="str">
        <f>IF(ISBLANK(B249),"",PROPER(TEXT(B249,"MMMM")))</f>
        <v/>
      </c>
      <c r="G249" s="58"/>
    </row>
    <row r="258" spans="3:7" x14ac:dyDescent="0.3">
      <c r="C258" s="53" t="str">
        <f>IF(ISBLANK(B258),"",PROPER(TEXT(B258,"MMMM")))</f>
        <v/>
      </c>
      <c r="D258" s="53" t="str">
        <f t="shared" ref="D258:G258" si="1">IF(ISBLANK(C258),"",PROPER(TEXT(C258,"MMMM")))</f>
        <v/>
      </c>
      <c r="E258" s="53" t="str">
        <f t="shared" si="1"/>
        <v/>
      </c>
      <c r="F258" s="53" t="str">
        <f t="shared" si="1"/>
        <v/>
      </c>
      <c r="G258" s="53" t="str">
        <f t="shared" si="1"/>
        <v/>
      </c>
    </row>
    <row r="267" spans="3:7" x14ac:dyDescent="0.3">
      <c r="C267" s="53" t="str">
        <f t="shared" ref="C267" si="2">IF(ISBLANK(B267),"",PROPER(TEXT(B267,"MMMM")))</f>
        <v/>
      </c>
    </row>
    <row r="268" spans="3:7" x14ac:dyDescent="0.3">
      <c r="C268" s="53" t="str">
        <f t="shared" ref="C268:C282" si="3">IF(ISBLANK(B268),"",PROPER(TEXT(B268,"MMMM")))</f>
        <v/>
      </c>
    </row>
    <row r="269" spans="3:7" x14ac:dyDescent="0.3">
      <c r="C269" s="53" t="str">
        <f t="shared" ref="C269:C279" si="4">IF(ISBLANK(B269),"",PROPER(TEXT(B269,"MMMM")))</f>
        <v/>
      </c>
    </row>
    <row r="270" spans="3:7" x14ac:dyDescent="0.3">
      <c r="C270" s="53" t="str">
        <f t="shared" si="4"/>
        <v/>
      </c>
    </row>
    <row r="271" spans="3:7" x14ac:dyDescent="0.3">
      <c r="C271" s="53" t="str">
        <f t="shared" si="4"/>
        <v/>
      </c>
    </row>
    <row r="272" spans="3:7" x14ac:dyDescent="0.3">
      <c r="C272" s="53" t="str">
        <f t="shared" si="4"/>
        <v/>
      </c>
    </row>
    <row r="273" spans="2:8" x14ac:dyDescent="0.3">
      <c r="C273" s="53" t="str">
        <f t="shared" si="4"/>
        <v/>
      </c>
    </row>
    <row r="274" spans="2:8" x14ac:dyDescent="0.3">
      <c r="C274" s="53" t="str">
        <f t="shared" si="4"/>
        <v/>
      </c>
    </row>
    <row r="275" spans="2:8" x14ac:dyDescent="0.3">
      <c r="C275" s="53" t="str">
        <f t="shared" si="4"/>
        <v/>
      </c>
    </row>
    <row r="276" spans="2:8" x14ac:dyDescent="0.3">
      <c r="C276" s="53" t="str">
        <f t="shared" si="4"/>
        <v/>
      </c>
    </row>
    <row r="277" spans="2:8" x14ac:dyDescent="0.3">
      <c r="C277" s="53" t="str">
        <f t="shared" si="4"/>
        <v/>
      </c>
    </row>
    <row r="278" spans="2:8" x14ac:dyDescent="0.3">
      <c r="C278" s="53" t="str">
        <f t="shared" si="4"/>
        <v/>
      </c>
    </row>
    <row r="279" spans="2:8" x14ac:dyDescent="0.3">
      <c r="C279" s="53" t="str">
        <f t="shared" si="4"/>
        <v/>
      </c>
    </row>
    <row r="280" spans="2:8" x14ac:dyDescent="0.3">
      <c r="C280" s="53" t="str">
        <f t="shared" si="3"/>
        <v/>
      </c>
    </row>
    <row r="281" spans="2:8" x14ac:dyDescent="0.3">
      <c r="C281" s="53" t="str">
        <f t="shared" si="3"/>
        <v/>
      </c>
    </row>
    <row r="282" spans="2:8" x14ac:dyDescent="0.3">
      <c r="C282" s="53" t="str">
        <f t="shared" si="3"/>
        <v/>
      </c>
      <c r="G282" s="55"/>
      <c r="H282" s="59"/>
    </row>
    <row r="283" spans="2:8" x14ac:dyDescent="0.3">
      <c r="B283" s="54"/>
      <c r="C283" s="54"/>
      <c r="D283" s="54"/>
      <c r="E283" s="60"/>
      <c r="F283" s="60"/>
      <c r="G283" s="55"/>
      <c r="H283" s="59"/>
    </row>
    <row r="284" spans="2:8" x14ac:dyDescent="0.3">
      <c r="B284" s="54"/>
      <c r="C284" s="54"/>
      <c r="D284" s="54"/>
      <c r="E284" s="60"/>
      <c r="F284" s="60"/>
      <c r="G284" s="55"/>
      <c r="H284" s="59"/>
    </row>
    <row r="285" spans="2:8" x14ac:dyDescent="0.3">
      <c r="B285" s="54"/>
      <c r="C285" s="54"/>
      <c r="D285" s="54"/>
      <c r="E285" s="60"/>
      <c r="F285" s="60"/>
      <c r="G285" s="55"/>
      <c r="H285" s="59"/>
    </row>
    <row r="286" spans="2:8" x14ac:dyDescent="0.3">
      <c r="B286" s="54"/>
      <c r="C286" s="61"/>
      <c r="D286" s="61"/>
      <c r="E286" s="60"/>
      <c r="F286" s="60"/>
      <c r="G286" s="55"/>
      <c r="H286" s="59"/>
    </row>
    <row r="287" spans="2:8" x14ac:dyDescent="0.3">
      <c r="B287" s="54"/>
      <c r="C287" s="54"/>
      <c r="D287" s="54"/>
      <c r="G287" s="54"/>
    </row>
    <row r="288" spans="2:8" x14ac:dyDescent="0.3">
      <c r="B288" s="54"/>
      <c r="C288" s="54"/>
      <c r="D288" s="54"/>
      <c r="G288" s="54"/>
    </row>
    <row r="289" spans="2:7" x14ac:dyDescent="0.3">
      <c r="B289" s="54"/>
      <c r="C289" s="54"/>
      <c r="D289" s="54"/>
      <c r="G289" s="54"/>
    </row>
    <row r="290" spans="2:7" x14ac:dyDescent="0.3">
      <c r="B290" s="54"/>
      <c r="C290" s="54"/>
      <c r="D290" s="54"/>
      <c r="G290" s="54"/>
    </row>
    <row r="291" spans="2:7" x14ac:dyDescent="0.3">
      <c r="B291" s="54"/>
      <c r="C291" s="54"/>
      <c r="D291" s="54"/>
      <c r="G291" s="54"/>
    </row>
    <row r="292" spans="2:7" x14ac:dyDescent="0.3">
      <c r="B292" s="54"/>
      <c r="C292" s="54"/>
      <c r="D292" s="54"/>
      <c r="G292" s="54"/>
    </row>
    <row r="293" spans="2:7" x14ac:dyDescent="0.3">
      <c r="B293" s="54"/>
      <c r="C293" s="54"/>
      <c r="D293" s="54"/>
      <c r="G293" s="54"/>
    </row>
    <row r="294" spans="2:7" x14ac:dyDescent="0.3">
      <c r="C294" s="53" t="str">
        <f t="shared" ref="C294:C352" si="5">IF(ISBLANK(B294),"",PROPER(TEXT(B294,"MMMM")))</f>
        <v/>
      </c>
    </row>
    <row r="295" spans="2:7" x14ac:dyDescent="0.3">
      <c r="C295" s="53" t="str">
        <f t="shared" si="5"/>
        <v/>
      </c>
    </row>
    <row r="296" spans="2:7" x14ac:dyDescent="0.3">
      <c r="C296" s="53" t="str">
        <f t="shared" si="5"/>
        <v/>
      </c>
    </row>
    <row r="297" spans="2:7" x14ac:dyDescent="0.3">
      <c r="C297" s="53" t="str">
        <f t="shared" si="5"/>
        <v/>
      </c>
    </row>
    <row r="298" spans="2:7" x14ac:dyDescent="0.3">
      <c r="C298" s="53" t="str">
        <f t="shared" si="5"/>
        <v/>
      </c>
    </row>
    <row r="299" spans="2:7" x14ac:dyDescent="0.3">
      <c r="C299" s="53" t="str">
        <f t="shared" si="5"/>
        <v/>
      </c>
    </row>
    <row r="300" spans="2:7" x14ac:dyDescent="0.3">
      <c r="C300" s="53" t="str">
        <f t="shared" si="5"/>
        <v/>
      </c>
    </row>
    <row r="301" spans="2:7" x14ac:dyDescent="0.3">
      <c r="C301" s="53" t="str">
        <f t="shared" si="5"/>
        <v/>
      </c>
    </row>
    <row r="302" spans="2:7" x14ac:dyDescent="0.3">
      <c r="C302" s="53" t="str">
        <f t="shared" si="5"/>
        <v/>
      </c>
    </row>
    <row r="303" spans="2:7" x14ac:dyDescent="0.3">
      <c r="C303" s="53" t="str">
        <f t="shared" si="5"/>
        <v/>
      </c>
    </row>
    <row r="304" spans="2:7" x14ac:dyDescent="0.3">
      <c r="C304" s="53" t="str">
        <f t="shared" si="5"/>
        <v/>
      </c>
    </row>
    <row r="305" spans="3:3" x14ac:dyDescent="0.3">
      <c r="C305" s="53" t="str">
        <f t="shared" si="5"/>
        <v/>
      </c>
    </row>
    <row r="306" spans="3:3" x14ac:dyDescent="0.3">
      <c r="C306" s="53" t="str">
        <f t="shared" si="5"/>
        <v/>
      </c>
    </row>
    <row r="307" spans="3:3" x14ac:dyDescent="0.3">
      <c r="C307" s="53" t="str">
        <f t="shared" si="5"/>
        <v/>
      </c>
    </row>
    <row r="308" spans="3:3" x14ac:dyDescent="0.3">
      <c r="C308" s="53" t="str">
        <f t="shared" si="5"/>
        <v/>
      </c>
    </row>
    <row r="309" spans="3:3" x14ac:dyDescent="0.3">
      <c r="C309" s="53" t="str">
        <f t="shared" si="5"/>
        <v/>
      </c>
    </row>
    <row r="310" spans="3:3" x14ac:dyDescent="0.3">
      <c r="C310" s="53" t="str">
        <f t="shared" si="5"/>
        <v/>
      </c>
    </row>
    <row r="311" spans="3:3" x14ac:dyDescent="0.3">
      <c r="C311" s="53" t="str">
        <f t="shared" si="5"/>
        <v/>
      </c>
    </row>
    <row r="312" spans="3:3" x14ac:dyDescent="0.3">
      <c r="C312" s="53" t="str">
        <f t="shared" si="5"/>
        <v/>
      </c>
    </row>
    <row r="313" spans="3:3" x14ac:dyDescent="0.3">
      <c r="C313" s="53" t="str">
        <f t="shared" si="5"/>
        <v/>
      </c>
    </row>
    <row r="314" spans="3:3" x14ac:dyDescent="0.3">
      <c r="C314" s="53" t="str">
        <f t="shared" si="5"/>
        <v/>
      </c>
    </row>
    <row r="315" spans="3:3" x14ac:dyDescent="0.3">
      <c r="C315" s="53" t="str">
        <f t="shared" si="5"/>
        <v/>
      </c>
    </row>
    <row r="316" spans="3:3" x14ac:dyDescent="0.3">
      <c r="C316" s="53" t="str">
        <f t="shared" si="5"/>
        <v/>
      </c>
    </row>
    <row r="317" spans="3:3" x14ac:dyDescent="0.3">
      <c r="C317" s="53" t="str">
        <f t="shared" si="5"/>
        <v/>
      </c>
    </row>
    <row r="318" spans="3:3" x14ac:dyDescent="0.3">
      <c r="C318" s="53" t="str">
        <f t="shared" si="5"/>
        <v/>
      </c>
    </row>
    <row r="319" spans="3:3" x14ac:dyDescent="0.3">
      <c r="C319" s="53" t="str">
        <f t="shared" si="5"/>
        <v/>
      </c>
    </row>
    <row r="320" spans="3:3" x14ac:dyDescent="0.3">
      <c r="C320" s="53" t="str">
        <f t="shared" si="5"/>
        <v/>
      </c>
    </row>
    <row r="321" spans="3:3" x14ac:dyDescent="0.3">
      <c r="C321" s="53" t="str">
        <f t="shared" si="5"/>
        <v/>
      </c>
    </row>
    <row r="322" spans="3:3" x14ac:dyDescent="0.3">
      <c r="C322" s="53" t="str">
        <f t="shared" si="5"/>
        <v/>
      </c>
    </row>
    <row r="323" spans="3:3" x14ac:dyDescent="0.3">
      <c r="C323" s="53" t="str">
        <f t="shared" si="5"/>
        <v/>
      </c>
    </row>
    <row r="324" spans="3:3" x14ac:dyDescent="0.3">
      <c r="C324" s="53" t="str">
        <f t="shared" si="5"/>
        <v/>
      </c>
    </row>
    <row r="325" spans="3:3" x14ac:dyDescent="0.3">
      <c r="C325" s="53" t="str">
        <f t="shared" si="5"/>
        <v/>
      </c>
    </row>
    <row r="326" spans="3:3" x14ac:dyDescent="0.3">
      <c r="C326" s="53" t="str">
        <f t="shared" si="5"/>
        <v/>
      </c>
    </row>
    <row r="327" spans="3:3" x14ac:dyDescent="0.3">
      <c r="C327" s="53" t="str">
        <f t="shared" si="5"/>
        <v/>
      </c>
    </row>
    <row r="328" spans="3:3" x14ac:dyDescent="0.3">
      <c r="C328" s="53" t="str">
        <f t="shared" si="5"/>
        <v/>
      </c>
    </row>
    <row r="329" spans="3:3" x14ac:dyDescent="0.3">
      <c r="C329" s="53" t="str">
        <f t="shared" si="5"/>
        <v/>
      </c>
    </row>
    <row r="330" spans="3:3" x14ac:dyDescent="0.3">
      <c r="C330" s="53" t="str">
        <f t="shared" si="5"/>
        <v/>
      </c>
    </row>
    <row r="331" spans="3:3" x14ac:dyDescent="0.3">
      <c r="C331" s="53" t="str">
        <f t="shared" si="5"/>
        <v/>
      </c>
    </row>
    <row r="332" spans="3:3" x14ac:dyDescent="0.3">
      <c r="C332" s="53" t="str">
        <f t="shared" si="5"/>
        <v/>
      </c>
    </row>
    <row r="333" spans="3:3" x14ac:dyDescent="0.3">
      <c r="C333" s="53" t="str">
        <f t="shared" si="5"/>
        <v/>
      </c>
    </row>
    <row r="334" spans="3:3" x14ac:dyDescent="0.3">
      <c r="C334" s="53" t="str">
        <f t="shared" si="5"/>
        <v/>
      </c>
    </row>
    <row r="335" spans="3:3" x14ac:dyDescent="0.3">
      <c r="C335" s="53" t="str">
        <f t="shared" si="5"/>
        <v/>
      </c>
    </row>
    <row r="336" spans="3:3" x14ac:dyDescent="0.3">
      <c r="C336" s="53" t="str">
        <f t="shared" si="5"/>
        <v/>
      </c>
    </row>
    <row r="337" spans="3:3" x14ac:dyDescent="0.3">
      <c r="C337" s="53" t="str">
        <f t="shared" si="5"/>
        <v/>
      </c>
    </row>
    <row r="338" spans="3:3" x14ac:dyDescent="0.3">
      <c r="C338" s="53" t="str">
        <f t="shared" si="5"/>
        <v/>
      </c>
    </row>
    <row r="339" spans="3:3" x14ac:dyDescent="0.3">
      <c r="C339" s="53" t="str">
        <f t="shared" si="5"/>
        <v/>
      </c>
    </row>
    <row r="340" spans="3:3" x14ac:dyDescent="0.3">
      <c r="C340" s="53" t="str">
        <f t="shared" si="5"/>
        <v/>
      </c>
    </row>
    <row r="341" spans="3:3" x14ac:dyDescent="0.3">
      <c r="C341" s="53" t="str">
        <f t="shared" si="5"/>
        <v/>
      </c>
    </row>
    <row r="342" spans="3:3" x14ac:dyDescent="0.3">
      <c r="C342" s="53" t="str">
        <f t="shared" si="5"/>
        <v/>
      </c>
    </row>
    <row r="343" spans="3:3" x14ac:dyDescent="0.3">
      <c r="C343" s="53" t="str">
        <f t="shared" si="5"/>
        <v/>
      </c>
    </row>
    <row r="344" spans="3:3" x14ac:dyDescent="0.3">
      <c r="C344" s="53" t="str">
        <f t="shared" si="5"/>
        <v/>
      </c>
    </row>
    <row r="345" spans="3:3" x14ac:dyDescent="0.3">
      <c r="C345" s="53" t="str">
        <f t="shared" si="5"/>
        <v/>
      </c>
    </row>
    <row r="346" spans="3:3" x14ac:dyDescent="0.3">
      <c r="C346" s="53" t="str">
        <f t="shared" si="5"/>
        <v/>
      </c>
    </row>
    <row r="347" spans="3:3" x14ac:dyDescent="0.3">
      <c r="C347" s="53" t="str">
        <f t="shared" si="5"/>
        <v/>
      </c>
    </row>
    <row r="348" spans="3:3" x14ac:dyDescent="0.3">
      <c r="C348" s="53" t="str">
        <f t="shared" si="5"/>
        <v/>
      </c>
    </row>
    <row r="349" spans="3:3" x14ac:dyDescent="0.3">
      <c r="C349" s="53" t="str">
        <f t="shared" si="5"/>
        <v/>
      </c>
    </row>
    <row r="350" spans="3:3" x14ac:dyDescent="0.3">
      <c r="C350" s="53" t="str">
        <f t="shared" si="5"/>
        <v/>
      </c>
    </row>
    <row r="351" spans="3:3" x14ac:dyDescent="0.3">
      <c r="C351" s="53" t="str">
        <f t="shared" si="5"/>
        <v/>
      </c>
    </row>
    <row r="352" spans="3:3" x14ac:dyDescent="0.3">
      <c r="C352" s="53" t="str">
        <f t="shared" si="5"/>
        <v/>
      </c>
    </row>
    <row r="353" spans="3:3" x14ac:dyDescent="0.3">
      <c r="C353" s="53" t="str">
        <f t="shared" ref="C353:C416" si="6">IF(ISBLANK(B353),"",PROPER(TEXT(B353,"MMMM")))</f>
        <v/>
      </c>
    </row>
    <row r="354" spans="3:3" x14ac:dyDescent="0.3">
      <c r="C354" s="53" t="str">
        <f t="shared" si="6"/>
        <v/>
      </c>
    </row>
    <row r="355" spans="3:3" x14ac:dyDescent="0.3">
      <c r="C355" s="53" t="str">
        <f t="shared" si="6"/>
        <v/>
      </c>
    </row>
    <row r="356" spans="3:3" x14ac:dyDescent="0.3">
      <c r="C356" s="53" t="str">
        <f t="shared" si="6"/>
        <v/>
      </c>
    </row>
    <row r="357" spans="3:3" x14ac:dyDescent="0.3">
      <c r="C357" s="53" t="str">
        <f t="shared" si="6"/>
        <v/>
      </c>
    </row>
    <row r="358" spans="3:3" x14ac:dyDescent="0.3">
      <c r="C358" s="53" t="str">
        <f t="shared" si="6"/>
        <v/>
      </c>
    </row>
    <row r="359" spans="3:3" x14ac:dyDescent="0.3">
      <c r="C359" s="53" t="str">
        <f t="shared" si="6"/>
        <v/>
      </c>
    </row>
    <row r="360" spans="3:3" x14ac:dyDescent="0.3">
      <c r="C360" s="53" t="str">
        <f t="shared" si="6"/>
        <v/>
      </c>
    </row>
    <row r="361" spans="3:3" x14ac:dyDescent="0.3">
      <c r="C361" s="53" t="str">
        <f t="shared" si="6"/>
        <v/>
      </c>
    </row>
    <row r="362" spans="3:3" x14ac:dyDescent="0.3">
      <c r="C362" s="53" t="str">
        <f t="shared" si="6"/>
        <v/>
      </c>
    </row>
    <row r="363" spans="3:3" x14ac:dyDescent="0.3">
      <c r="C363" s="53" t="str">
        <f t="shared" si="6"/>
        <v/>
      </c>
    </row>
    <row r="364" spans="3:3" x14ac:dyDescent="0.3">
      <c r="C364" s="53" t="str">
        <f t="shared" si="6"/>
        <v/>
      </c>
    </row>
    <row r="365" spans="3:3" x14ac:dyDescent="0.3">
      <c r="C365" s="53" t="str">
        <f t="shared" si="6"/>
        <v/>
      </c>
    </row>
    <row r="366" spans="3:3" x14ac:dyDescent="0.3">
      <c r="C366" s="53" t="str">
        <f t="shared" si="6"/>
        <v/>
      </c>
    </row>
    <row r="367" spans="3:3" x14ac:dyDescent="0.3">
      <c r="C367" s="53" t="str">
        <f t="shared" si="6"/>
        <v/>
      </c>
    </row>
    <row r="368" spans="3:3" x14ac:dyDescent="0.3">
      <c r="C368" s="53" t="str">
        <f t="shared" si="6"/>
        <v/>
      </c>
    </row>
    <row r="369" spans="3:3" x14ac:dyDescent="0.3">
      <c r="C369" s="53" t="str">
        <f t="shared" si="6"/>
        <v/>
      </c>
    </row>
    <row r="370" spans="3:3" x14ac:dyDescent="0.3">
      <c r="C370" s="53" t="str">
        <f t="shared" si="6"/>
        <v/>
      </c>
    </row>
    <row r="371" spans="3:3" x14ac:dyDescent="0.3">
      <c r="C371" s="53" t="str">
        <f t="shared" si="6"/>
        <v/>
      </c>
    </row>
    <row r="372" spans="3:3" x14ac:dyDescent="0.3">
      <c r="C372" s="53" t="str">
        <f t="shared" si="6"/>
        <v/>
      </c>
    </row>
    <row r="373" spans="3:3" x14ac:dyDescent="0.3">
      <c r="C373" s="53" t="str">
        <f t="shared" si="6"/>
        <v/>
      </c>
    </row>
    <row r="374" spans="3:3" x14ac:dyDescent="0.3">
      <c r="C374" s="53" t="str">
        <f t="shared" si="6"/>
        <v/>
      </c>
    </row>
    <row r="375" spans="3:3" x14ac:dyDescent="0.3">
      <c r="C375" s="53" t="str">
        <f t="shared" si="6"/>
        <v/>
      </c>
    </row>
    <row r="376" spans="3:3" x14ac:dyDescent="0.3">
      <c r="C376" s="53" t="str">
        <f t="shared" si="6"/>
        <v/>
      </c>
    </row>
    <row r="377" spans="3:3" x14ac:dyDescent="0.3">
      <c r="C377" s="53" t="str">
        <f t="shared" si="6"/>
        <v/>
      </c>
    </row>
    <row r="378" spans="3:3" x14ac:dyDescent="0.3">
      <c r="C378" s="53" t="str">
        <f t="shared" si="6"/>
        <v/>
      </c>
    </row>
    <row r="379" spans="3:3" x14ac:dyDescent="0.3">
      <c r="C379" s="53" t="str">
        <f t="shared" si="6"/>
        <v/>
      </c>
    </row>
    <row r="380" spans="3:3" x14ac:dyDescent="0.3">
      <c r="C380" s="53" t="str">
        <f t="shared" si="6"/>
        <v/>
      </c>
    </row>
    <row r="381" spans="3:3" x14ac:dyDescent="0.3">
      <c r="C381" s="53" t="str">
        <f t="shared" si="6"/>
        <v/>
      </c>
    </row>
    <row r="382" spans="3:3" x14ac:dyDescent="0.3">
      <c r="C382" s="53" t="str">
        <f t="shared" si="6"/>
        <v/>
      </c>
    </row>
    <row r="383" spans="3:3" x14ac:dyDescent="0.3">
      <c r="C383" s="53" t="str">
        <f t="shared" si="6"/>
        <v/>
      </c>
    </row>
    <row r="384" spans="3:3" x14ac:dyDescent="0.3">
      <c r="C384" s="53" t="str">
        <f t="shared" si="6"/>
        <v/>
      </c>
    </row>
    <row r="385" spans="3:3" x14ac:dyDescent="0.3">
      <c r="C385" s="53" t="str">
        <f t="shared" si="6"/>
        <v/>
      </c>
    </row>
    <row r="386" spans="3:3" x14ac:dyDescent="0.3">
      <c r="C386" s="53" t="str">
        <f t="shared" si="6"/>
        <v/>
      </c>
    </row>
    <row r="387" spans="3:3" x14ac:dyDescent="0.3">
      <c r="C387" s="53" t="str">
        <f t="shared" si="6"/>
        <v/>
      </c>
    </row>
    <row r="388" spans="3:3" x14ac:dyDescent="0.3">
      <c r="C388" s="53" t="str">
        <f t="shared" si="6"/>
        <v/>
      </c>
    </row>
    <row r="389" spans="3:3" x14ac:dyDescent="0.3">
      <c r="C389" s="53" t="str">
        <f t="shared" si="6"/>
        <v/>
      </c>
    </row>
    <row r="390" spans="3:3" x14ac:dyDescent="0.3">
      <c r="C390" s="53" t="str">
        <f t="shared" si="6"/>
        <v/>
      </c>
    </row>
    <row r="391" spans="3:3" x14ac:dyDescent="0.3">
      <c r="C391" s="53" t="str">
        <f t="shared" si="6"/>
        <v/>
      </c>
    </row>
    <row r="392" spans="3:3" x14ac:dyDescent="0.3">
      <c r="C392" s="53" t="str">
        <f t="shared" si="6"/>
        <v/>
      </c>
    </row>
    <row r="393" spans="3:3" x14ac:dyDescent="0.3">
      <c r="C393" s="53" t="str">
        <f t="shared" si="6"/>
        <v/>
      </c>
    </row>
    <row r="394" spans="3:3" x14ac:dyDescent="0.3">
      <c r="C394" s="53" t="str">
        <f t="shared" si="6"/>
        <v/>
      </c>
    </row>
    <row r="395" spans="3:3" x14ac:dyDescent="0.3">
      <c r="C395" s="53" t="str">
        <f t="shared" si="6"/>
        <v/>
      </c>
    </row>
    <row r="396" spans="3:3" x14ac:dyDescent="0.3">
      <c r="C396" s="53" t="str">
        <f t="shared" si="6"/>
        <v/>
      </c>
    </row>
    <row r="397" spans="3:3" x14ac:dyDescent="0.3">
      <c r="C397" s="53" t="str">
        <f t="shared" si="6"/>
        <v/>
      </c>
    </row>
    <row r="398" spans="3:3" x14ac:dyDescent="0.3">
      <c r="C398" s="53" t="str">
        <f t="shared" si="6"/>
        <v/>
      </c>
    </row>
    <row r="399" spans="3:3" x14ac:dyDescent="0.3">
      <c r="C399" s="53" t="str">
        <f t="shared" si="6"/>
        <v/>
      </c>
    </row>
    <row r="400" spans="3:3" x14ac:dyDescent="0.3">
      <c r="C400" s="53" t="str">
        <f t="shared" si="6"/>
        <v/>
      </c>
    </row>
    <row r="401" spans="3:3" x14ac:dyDescent="0.3">
      <c r="C401" s="53" t="str">
        <f t="shared" si="6"/>
        <v/>
      </c>
    </row>
    <row r="402" spans="3:3" x14ac:dyDescent="0.3">
      <c r="C402" s="53" t="str">
        <f t="shared" si="6"/>
        <v/>
      </c>
    </row>
    <row r="403" spans="3:3" x14ac:dyDescent="0.3">
      <c r="C403" s="53" t="str">
        <f t="shared" si="6"/>
        <v/>
      </c>
    </row>
    <row r="404" spans="3:3" x14ac:dyDescent="0.3">
      <c r="C404" s="53" t="str">
        <f t="shared" si="6"/>
        <v/>
      </c>
    </row>
    <row r="405" spans="3:3" x14ac:dyDescent="0.3">
      <c r="C405" s="53" t="str">
        <f t="shared" si="6"/>
        <v/>
      </c>
    </row>
    <row r="406" spans="3:3" x14ac:dyDescent="0.3">
      <c r="C406" s="53" t="str">
        <f t="shared" si="6"/>
        <v/>
      </c>
    </row>
    <row r="407" spans="3:3" x14ac:dyDescent="0.3">
      <c r="C407" s="53" t="str">
        <f t="shared" si="6"/>
        <v/>
      </c>
    </row>
    <row r="408" spans="3:3" x14ac:dyDescent="0.3">
      <c r="C408" s="53" t="str">
        <f t="shared" si="6"/>
        <v/>
      </c>
    </row>
    <row r="409" spans="3:3" x14ac:dyDescent="0.3">
      <c r="C409" s="53" t="str">
        <f t="shared" si="6"/>
        <v/>
      </c>
    </row>
    <row r="410" spans="3:3" x14ac:dyDescent="0.3">
      <c r="C410" s="53" t="str">
        <f t="shared" si="6"/>
        <v/>
      </c>
    </row>
    <row r="411" spans="3:3" x14ac:dyDescent="0.3">
      <c r="C411" s="53" t="str">
        <f t="shared" si="6"/>
        <v/>
      </c>
    </row>
    <row r="412" spans="3:3" x14ac:dyDescent="0.3">
      <c r="C412" s="53" t="str">
        <f t="shared" si="6"/>
        <v/>
      </c>
    </row>
    <row r="413" spans="3:3" x14ac:dyDescent="0.3">
      <c r="C413" s="53" t="str">
        <f t="shared" si="6"/>
        <v/>
      </c>
    </row>
    <row r="414" spans="3:3" x14ac:dyDescent="0.3">
      <c r="C414" s="53" t="str">
        <f t="shared" si="6"/>
        <v/>
      </c>
    </row>
    <row r="415" spans="3:3" x14ac:dyDescent="0.3">
      <c r="C415" s="53" t="str">
        <f t="shared" si="6"/>
        <v/>
      </c>
    </row>
    <row r="416" spans="3:3" x14ac:dyDescent="0.3">
      <c r="C416" s="53" t="str">
        <f t="shared" si="6"/>
        <v/>
      </c>
    </row>
    <row r="417" spans="3:3" x14ac:dyDescent="0.3">
      <c r="C417" s="53" t="str">
        <f t="shared" ref="C417:C480" si="7">IF(ISBLANK(B417),"",PROPER(TEXT(B417,"MMMM")))</f>
        <v/>
      </c>
    </row>
    <row r="418" spans="3:3" x14ac:dyDescent="0.3">
      <c r="C418" s="53" t="str">
        <f t="shared" si="7"/>
        <v/>
      </c>
    </row>
    <row r="419" spans="3:3" x14ac:dyDescent="0.3">
      <c r="C419" s="53" t="str">
        <f t="shared" si="7"/>
        <v/>
      </c>
    </row>
    <row r="420" spans="3:3" x14ac:dyDescent="0.3">
      <c r="C420" s="53" t="str">
        <f t="shared" si="7"/>
        <v/>
      </c>
    </row>
    <row r="421" spans="3:3" x14ac:dyDescent="0.3">
      <c r="C421" s="53" t="str">
        <f t="shared" si="7"/>
        <v/>
      </c>
    </row>
    <row r="422" spans="3:3" x14ac:dyDescent="0.3">
      <c r="C422" s="53" t="str">
        <f t="shared" si="7"/>
        <v/>
      </c>
    </row>
    <row r="423" spans="3:3" x14ac:dyDescent="0.3">
      <c r="C423" s="53" t="str">
        <f t="shared" si="7"/>
        <v/>
      </c>
    </row>
    <row r="424" spans="3:3" x14ac:dyDescent="0.3">
      <c r="C424" s="53" t="str">
        <f t="shared" si="7"/>
        <v/>
      </c>
    </row>
    <row r="425" spans="3:3" x14ac:dyDescent="0.3">
      <c r="C425" s="53" t="str">
        <f t="shared" si="7"/>
        <v/>
      </c>
    </row>
    <row r="426" spans="3:3" x14ac:dyDescent="0.3">
      <c r="C426" s="53" t="str">
        <f t="shared" si="7"/>
        <v/>
      </c>
    </row>
    <row r="427" spans="3:3" x14ac:dyDescent="0.3">
      <c r="C427" s="53" t="str">
        <f t="shared" si="7"/>
        <v/>
      </c>
    </row>
    <row r="428" spans="3:3" x14ac:dyDescent="0.3">
      <c r="C428" s="53" t="str">
        <f t="shared" si="7"/>
        <v/>
      </c>
    </row>
    <row r="429" spans="3:3" x14ac:dyDescent="0.3">
      <c r="C429" s="53" t="str">
        <f t="shared" si="7"/>
        <v/>
      </c>
    </row>
    <row r="430" spans="3:3" x14ac:dyDescent="0.3">
      <c r="C430" s="53" t="str">
        <f t="shared" si="7"/>
        <v/>
      </c>
    </row>
    <row r="431" spans="3:3" x14ac:dyDescent="0.3">
      <c r="C431" s="53" t="str">
        <f t="shared" si="7"/>
        <v/>
      </c>
    </row>
    <row r="432" spans="3:3" x14ac:dyDescent="0.3">
      <c r="C432" s="53" t="str">
        <f t="shared" si="7"/>
        <v/>
      </c>
    </row>
    <row r="433" spans="3:3" x14ac:dyDescent="0.3">
      <c r="C433" s="53" t="str">
        <f t="shared" si="7"/>
        <v/>
      </c>
    </row>
    <row r="434" spans="3:3" x14ac:dyDescent="0.3">
      <c r="C434" s="53" t="str">
        <f t="shared" si="7"/>
        <v/>
      </c>
    </row>
    <row r="435" spans="3:3" x14ac:dyDescent="0.3">
      <c r="C435" s="53" t="str">
        <f t="shared" si="7"/>
        <v/>
      </c>
    </row>
    <row r="436" spans="3:3" x14ac:dyDescent="0.3">
      <c r="C436" s="53" t="str">
        <f t="shared" si="7"/>
        <v/>
      </c>
    </row>
    <row r="437" spans="3:3" x14ac:dyDescent="0.3">
      <c r="C437" s="53" t="str">
        <f t="shared" si="7"/>
        <v/>
      </c>
    </row>
    <row r="438" spans="3:3" x14ac:dyDescent="0.3">
      <c r="C438" s="53" t="str">
        <f t="shared" si="7"/>
        <v/>
      </c>
    </row>
    <row r="439" spans="3:3" x14ac:dyDescent="0.3">
      <c r="C439" s="53" t="str">
        <f t="shared" si="7"/>
        <v/>
      </c>
    </row>
    <row r="440" spans="3:3" x14ac:dyDescent="0.3">
      <c r="C440" s="53" t="str">
        <f t="shared" si="7"/>
        <v/>
      </c>
    </row>
    <row r="441" spans="3:3" x14ac:dyDescent="0.3">
      <c r="C441" s="53" t="str">
        <f t="shared" si="7"/>
        <v/>
      </c>
    </row>
    <row r="442" spans="3:3" x14ac:dyDescent="0.3">
      <c r="C442" s="53" t="str">
        <f t="shared" si="7"/>
        <v/>
      </c>
    </row>
    <row r="443" spans="3:3" x14ac:dyDescent="0.3">
      <c r="C443" s="53" t="str">
        <f t="shared" si="7"/>
        <v/>
      </c>
    </row>
    <row r="444" spans="3:3" x14ac:dyDescent="0.3">
      <c r="C444" s="53" t="str">
        <f t="shared" si="7"/>
        <v/>
      </c>
    </row>
    <row r="445" spans="3:3" x14ac:dyDescent="0.3">
      <c r="C445" s="53" t="str">
        <f t="shared" si="7"/>
        <v/>
      </c>
    </row>
    <row r="446" spans="3:3" x14ac:dyDescent="0.3">
      <c r="C446" s="53" t="str">
        <f t="shared" si="7"/>
        <v/>
      </c>
    </row>
    <row r="447" spans="3:3" x14ac:dyDescent="0.3">
      <c r="C447" s="53" t="str">
        <f t="shared" si="7"/>
        <v/>
      </c>
    </row>
    <row r="448" spans="3:3" x14ac:dyDescent="0.3">
      <c r="C448" s="53" t="str">
        <f t="shared" si="7"/>
        <v/>
      </c>
    </row>
    <row r="449" spans="3:3" x14ac:dyDescent="0.3">
      <c r="C449" s="53" t="str">
        <f t="shared" si="7"/>
        <v/>
      </c>
    </row>
    <row r="450" spans="3:3" x14ac:dyDescent="0.3">
      <c r="C450" s="53" t="str">
        <f t="shared" si="7"/>
        <v/>
      </c>
    </row>
    <row r="451" spans="3:3" x14ac:dyDescent="0.3">
      <c r="C451" s="53" t="str">
        <f t="shared" si="7"/>
        <v/>
      </c>
    </row>
    <row r="452" spans="3:3" x14ac:dyDescent="0.3">
      <c r="C452" s="53" t="str">
        <f t="shared" si="7"/>
        <v/>
      </c>
    </row>
    <row r="453" spans="3:3" x14ac:dyDescent="0.3">
      <c r="C453" s="53" t="str">
        <f t="shared" si="7"/>
        <v/>
      </c>
    </row>
    <row r="454" spans="3:3" x14ac:dyDescent="0.3">
      <c r="C454" s="53" t="str">
        <f t="shared" si="7"/>
        <v/>
      </c>
    </row>
    <row r="455" spans="3:3" x14ac:dyDescent="0.3">
      <c r="C455" s="53" t="str">
        <f t="shared" si="7"/>
        <v/>
      </c>
    </row>
    <row r="456" spans="3:3" x14ac:dyDescent="0.3">
      <c r="C456" s="53" t="str">
        <f t="shared" si="7"/>
        <v/>
      </c>
    </row>
    <row r="457" spans="3:3" x14ac:dyDescent="0.3">
      <c r="C457" s="53" t="str">
        <f t="shared" si="7"/>
        <v/>
      </c>
    </row>
    <row r="458" spans="3:3" x14ac:dyDescent="0.3">
      <c r="C458" s="53" t="str">
        <f t="shared" si="7"/>
        <v/>
      </c>
    </row>
    <row r="459" spans="3:3" x14ac:dyDescent="0.3">
      <c r="C459" s="53" t="str">
        <f t="shared" si="7"/>
        <v/>
      </c>
    </row>
    <row r="460" spans="3:3" x14ac:dyDescent="0.3">
      <c r="C460" s="53" t="str">
        <f t="shared" si="7"/>
        <v/>
      </c>
    </row>
    <row r="461" spans="3:3" x14ac:dyDescent="0.3">
      <c r="C461" s="53" t="str">
        <f t="shared" si="7"/>
        <v/>
      </c>
    </row>
    <row r="462" spans="3:3" x14ac:dyDescent="0.3">
      <c r="C462" s="53" t="str">
        <f t="shared" si="7"/>
        <v/>
      </c>
    </row>
    <row r="463" spans="3:3" x14ac:dyDescent="0.3">
      <c r="C463" s="53" t="str">
        <f t="shared" si="7"/>
        <v/>
      </c>
    </row>
    <row r="464" spans="3:3" x14ac:dyDescent="0.3">
      <c r="C464" s="53" t="str">
        <f t="shared" si="7"/>
        <v/>
      </c>
    </row>
    <row r="465" spans="3:3" x14ac:dyDescent="0.3">
      <c r="C465" s="53" t="str">
        <f t="shared" si="7"/>
        <v/>
      </c>
    </row>
    <row r="466" spans="3:3" x14ac:dyDescent="0.3">
      <c r="C466" s="53" t="str">
        <f t="shared" si="7"/>
        <v/>
      </c>
    </row>
    <row r="467" spans="3:3" x14ac:dyDescent="0.3">
      <c r="C467" s="53" t="str">
        <f t="shared" si="7"/>
        <v/>
      </c>
    </row>
    <row r="468" spans="3:3" x14ac:dyDescent="0.3">
      <c r="C468" s="53" t="str">
        <f t="shared" si="7"/>
        <v/>
      </c>
    </row>
    <row r="469" spans="3:3" x14ac:dyDescent="0.3">
      <c r="C469" s="53" t="str">
        <f t="shared" si="7"/>
        <v/>
      </c>
    </row>
    <row r="470" spans="3:3" x14ac:dyDescent="0.3">
      <c r="C470" s="53" t="str">
        <f t="shared" si="7"/>
        <v/>
      </c>
    </row>
    <row r="471" spans="3:3" x14ac:dyDescent="0.3">
      <c r="C471" s="53" t="str">
        <f t="shared" si="7"/>
        <v/>
      </c>
    </row>
    <row r="472" spans="3:3" x14ac:dyDescent="0.3">
      <c r="C472" s="53" t="str">
        <f t="shared" si="7"/>
        <v/>
      </c>
    </row>
    <row r="473" spans="3:3" x14ac:dyDescent="0.3">
      <c r="C473" s="53" t="str">
        <f t="shared" si="7"/>
        <v/>
      </c>
    </row>
    <row r="474" spans="3:3" x14ac:dyDescent="0.3">
      <c r="C474" s="53" t="str">
        <f t="shared" si="7"/>
        <v/>
      </c>
    </row>
    <row r="475" spans="3:3" x14ac:dyDescent="0.3">
      <c r="C475" s="53" t="str">
        <f t="shared" si="7"/>
        <v/>
      </c>
    </row>
    <row r="476" spans="3:3" x14ac:dyDescent="0.3">
      <c r="C476" s="53" t="str">
        <f t="shared" si="7"/>
        <v/>
      </c>
    </row>
    <row r="477" spans="3:3" x14ac:dyDescent="0.3">
      <c r="C477" s="53" t="str">
        <f t="shared" si="7"/>
        <v/>
      </c>
    </row>
    <row r="478" spans="3:3" x14ac:dyDescent="0.3">
      <c r="C478" s="53" t="str">
        <f t="shared" si="7"/>
        <v/>
      </c>
    </row>
    <row r="479" spans="3:3" x14ac:dyDescent="0.3">
      <c r="C479" s="53" t="str">
        <f t="shared" si="7"/>
        <v/>
      </c>
    </row>
    <row r="480" spans="3:3" x14ac:dyDescent="0.3">
      <c r="C480" s="53" t="str">
        <f t="shared" si="7"/>
        <v/>
      </c>
    </row>
    <row r="481" spans="3:3" x14ac:dyDescent="0.3">
      <c r="C481" s="53" t="str">
        <f t="shared" ref="C481:C544" si="8">IF(ISBLANK(B481),"",PROPER(TEXT(B481,"MMMM")))</f>
        <v/>
      </c>
    </row>
    <row r="482" spans="3:3" x14ac:dyDescent="0.3">
      <c r="C482" s="53" t="str">
        <f t="shared" si="8"/>
        <v/>
      </c>
    </row>
    <row r="483" spans="3:3" x14ac:dyDescent="0.3">
      <c r="C483" s="53" t="str">
        <f t="shared" si="8"/>
        <v/>
      </c>
    </row>
    <row r="484" spans="3:3" x14ac:dyDescent="0.3">
      <c r="C484" s="53" t="str">
        <f t="shared" si="8"/>
        <v/>
      </c>
    </row>
    <row r="485" spans="3:3" x14ac:dyDescent="0.3">
      <c r="C485" s="53" t="str">
        <f t="shared" si="8"/>
        <v/>
      </c>
    </row>
    <row r="486" spans="3:3" x14ac:dyDescent="0.3">
      <c r="C486" s="53" t="str">
        <f t="shared" si="8"/>
        <v/>
      </c>
    </row>
    <row r="487" spans="3:3" x14ac:dyDescent="0.3">
      <c r="C487" s="53" t="str">
        <f t="shared" si="8"/>
        <v/>
      </c>
    </row>
    <row r="488" spans="3:3" x14ac:dyDescent="0.3">
      <c r="C488" s="53" t="str">
        <f t="shared" si="8"/>
        <v/>
      </c>
    </row>
    <row r="489" spans="3:3" x14ac:dyDescent="0.3">
      <c r="C489" s="53" t="str">
        <f t="shared" si="8"/>
        <v/>
      </c>
    </row>
    <row r="490" spans="3:3" x14ac:dyDescent="0.3">
      <c r="C490" s="53" t="str">
        <f t="shared" si="8"/>
        <v/>
      </c>
    </row>
    <row r="491" spans="3:3" x14ac:dyDescent="0.3">
      <c r="C491" s="53" t="str">
        <f t="shared" si="8"/>
        <v/>
      </c>
    </row>
    <row r="492" spans="3:3" x14ac:dyDescent="0.3">
      <c r="C492" s="53" t="str">
        <f t="shared" si="8"/>
        <v/>
      </c>
    </row>
    <row r="493" spans="3:3" x14ac:dyDescent="0.3">
      <c r="C493" s="53" t="str">
        <f t="shared" si="8"/>
        <v/>
      </c>
    </row>
    <row r="494" spans="3:3" x14ac:dyDescent="0.3">
      <c r="C494" s="53" t="str">
        <f t="shared" si="8"/>
        <v/>
      </c>
    </row>
    <row r="495" spans="3:3" x14ac:dyDescent="0.3">
      <c r="C495" s="53" t="str">
        <f t="shared" si="8"/>
        <v/>
      </c>
    </row>
    <row r="496" spans="3:3" x14ac:dyDescent="0.3">
      <c r="C496" s="53" t="str">
        <f t="shared" si="8"/>
        <v/>
      </c>
    </row>
    <row r="497" spans="3:3" x14ac:dyDescent="0.3">
      <c r="C497" s="53" t="str">
        <f t="shared" si="8"/>
        <v/>
      </c>
    </row>
    <row r="498" spans="3:3" x14ac:dyDescent="0.3">
      <c r="C498" s="53" t="str">
        <f t="shared" si="8"/>
        <v/>
      </c>
    </row>
    <row r="499" spans="3:3" x14ac:dyDescent="0.3">
      <c r="C499" s="53" t="str">
        <f t="shared" si="8"/>
        <v/>
      </c>
    </row>
    <row r="500" spans="3:3" x14ac:dyDescent="0.3">
      <c r="C500" s="53" t="str">
        <f t="shared" si="8"/>
        <v/>
      </c>
    </row>
    <row r="501" spans="3:3" x14ac:dyDescent="0.3">
      <c r="C501" s="53" t="str">
        <f t="shared" si="8"/>
        <v/>
      </c>
    </row>
    <row r="502" spans="3:3" x14ac:dyDescent="0.3">
      <c r="C502" s="53" t="str">
        <f t="shared" si="8"/>
        <v/>
      </c>
    </row>
    <row r="503" spans="3:3" x14ac:dyDescent="0.3">
      <c r="C503" s="53" t="str">
        <f t="shared" si="8"/>
        <v/>
      </c>
    </row>
    <row r="504" spans="3:3" x14ac:dyDescent="0.3">
      <c r="C504" s="53" t="str">
        <f t="shared" si="8"/>
        <v/>
      </c>
    </row>
    <row r="505" spans="3:3" x14ac:dyDescent="0.3">
      <c r="C505" s="53" t="str">
        <f t="shared" si="8"/>
        <v/>
      </c>
    </row>
    <row r="506" spans="3:3" x14ac:dyDescent="0.3">
      <c r="C506" s="53" t="str">
        <f t="shared" si="8"/>
        <v/>
      </c>
    </row>
    <row r="507" spans="3:3" x14ac:dyDescent="0.3">
      <c r="C507" s="53" t="str">
        <f t="shared" si="8"/>
        <v/>
      </c>
    </row>
    <row r="508" spans="3:3" x14ac:dyDescent="0.3">
      <c r="C508" s="53" t="str">
        <f t="shared" si="8"/>
        <v/>
      </c>
    </row>
    <row r="509" spans="3:3" x14ac:dyDescent="0.3">
      <c r="C509" s="53" t="str">
        <f t="shared" si="8"/>
        <v/>
      </c>
    </row>
    <row r="510" spans="3:3" x14ac:dyDescent="0.3">
      <c r="C510" s="53" t="str">
        <f t="shared" si="8"/>
        <v/>
      </c>
    </row>
    <row r="511" spans="3:3" x14ac:dyDescent="0.3">
      <c r="C511" s="53" t="str">
        <f t="shared" si="8"/>
        <v/>
      </c>
    </row>
    <row r="512" spans="3:3" x14ac:dyDescent="0.3">
      <c r="C512" s="53" t="str">
        <f t="shared" si="8"/>
        <v/>
      </c>
    </row>
    <row r="513" spans="3:3" x14ac:dyDescent="0.3">
      <c r="C513" s="53" t="str">
        <f t="shared" si="8"/>
        <v/>
      </c>
    </row>
    <row r="514" spans="3:3" x14ac:dyDescent="0.3">
      <c r="C514" s="53" t="str">
        <f t="shared" si="8"/>
        <v/>
      </c>
    </row>
    <row r="515" spans="3:3" x14ac:dyDescent="0.3">
      <c r="C515" s="53" t="str">
        <f t="shared" si="8"/>
        <v/>
      </c>
    </row>
    <row r="516" spans="3:3" x14ac:dyDescent="0.3">
      <c r="C516" s="53" t="str">
        <f t="shared" si="8"/>
        <v/>
      </c>
    </row>
    <row r="517" spans="3:3" x14ac:dyDescent="0.3">
      <c r="C517" s="53" t="str">
        <f t="shared" si="8"/>
        <v/>
      </c>
    </row>
    <row r="518" spans="3:3" x14ac:dyDescent="0.3">
      <c r="C518" s="53" t="str">
        <f t="shared" si="8"/>
        <v/>
      </c>
    </row>
    <row r="519" spans="3:3" x14ac:dyDescent="0.3">
      <c r="C519" s="53" t="str">
        <f t="shared" si="8"/>
        <v/>
      </c>
    </row>
    <row r="520" spans="3:3" x14ac:dyDescent="0.3">
      <c r="C520" s="53" t="str">
        <f t="shared" si="8"/>
        <v/>
      </c>
    </row>
    <row r="521" spans="3:3" x14ac:dyDescent="0.3">
      <c r="C521" s="53" t="str">
        <f t="shared" si="8"/>
        <v/>
      </c>
    </row>
    <row r="522" spans="3:3" x14ac:dyDescent="0.3">
      <c r="C522" s="53" t="str">
        <f t="shared" si="8"/>
        <v/>
      </c>
    </row>
    <row r="523" spans="3:3" x14ac:dyDescent="0.3">
      <c r="C523" s="53" t="str">
        <f t="shared" si="8"/>
        <v/>
      </c>
    </row>
    <row r="524" spans="3:3" x14ac:dyDescent="0.3">
      <c r="C524" s="53" t="str">
        <f t="shared" si="8"/>
        <v/>
      </c>
    </row>
    <row r="525" spans="3:3" x14ac:dyDescent="0.3">
      <c r="C525" s="53" t="str">
        <f t="shared" si="8"/>
        <v/>
      </c>
    </row>
    <row r="526" spans="3:3" x14ac:dyDescent="0.3">
      <c r="C526" s="53" t="str">
        <f t="shared" si="8"/>
        <v/>
      </c>
    </row>
    <row r="527" spans="3:3" x14ac:dyDescent="0.3">
      <c r="C527" s="53" t="str">
        <f t="shared" si="8"/>
        <v/>
      </c>
    </row>
    <row r="528" spans="3:3" x14ac:dyDescent="0.3">
      <c r="C528" s="53" t="str">
        <f t="shared" si="8"/>
        <v/>
      </c>
    </row>
    <row r="529" spans="3:3" x14ac:dyDescent="0.3">
      <c r="C529" s="53" t="str">
        <f t="shared" si="8"/>
        <v/>
      </c>
    </row>
    <row r="530" spans="3:3" x14ac:dyDescent="0.3">
      <c r="C530" s="53" t="str">
        <f t="shared" si="8"/>
        <v/>
      </c>
    </row>
    <row r="531" spans="3:3" x14ac:dyDescent="0.3">
      <c r="C531" s="53" t="str">
        <f t="shared" si="8"/>
        <v/>
      </c>
    </row>
    <row r="532" spans="3:3" x14ac:dyDescent="0.3">
      <c r="C532" s="53" t="str">
        <f t="shared" si="8"/>
        <v/>
      </c>
    </row>
    <row r="533" spans="3:3" x14ac:dyDescent="0.3">
      <c r="C533" s="53" t="str">
        <f t="shared" si="8"/>
        <v/>
      </c>
    </row>
    <row r="534" spans="3:3" x14ac:dyDescent="0.3">
      <c r="C534" s="53" t="str">
        <f t="shared" si="8"/>
        <v/>
      </c>
    </row>
    <row r="535" spans="3:3" x14ac:dyDescent="0.3">
      <c r="C535" s="53" t="str">
        <f t="shared" si="8"/>
        <v/>
      </c>
    </row>
    <row r="536" spans="3:3" x14ac:dyDescent="0.3">
      <c r="C536" s="53" t="str">
        <f t="shared" si="8"/>
        <v/>
      </c>
    </row>
    <row r="537" spans="3:3" x14ac:dyDescent="0.3">
      <c r="C537" s="53" t="str">
        <f t="shared" si="8"/>
        <v/>
      </c>
    </row>
    <row r="538" spans="3:3" x14ac:dyDescent="0.3">
      <c r="C538" s="53" t="str">
        <f t="shared" si="8"/>
        <v/>
      </c>
    </row>
    <row r="539" spans="3:3" x14ac:dyDescent="0.3">
      <c r="C539" s="53" t="str">
        <f t="shared" si="8"/>
        <v/>
      </c>
    </row>
    <row r="540" spans="3:3" x14ac:dyDescent="0.3">
      <c r="C540" s="53" t="str">
        <f t="shared" si="8"/>
        <v/>
      </c>
    </row>
    <row r="541" spans="3:3" x14ac:dyDescent="0.3">
      <c r="C541" s="53" t="str">
        <f t="shared" si="8"/>
        <v/>
      </c>
    </row>
    <row r="542" spans="3:3" x14ac:dyDescent="0.3">
      <c r="C542" s="53" t="str">
        <f t="shared" si="8"/>
        <v/>
      </c>
    </row>
    <row r="543" spans="3:3" x14ac:dyDescent="0.3">
      <c r="C543" s="53" t="str">
        <f t="shared" si="8"/>
        <v/>
      </c>
    </row>
    <row r="544" spans="3:3" x14ac:dyDescent="0.3">
      <c r="C544" s="53" t="str">
        <f t="shared" si="8"/>
        <v/>
      </c>
    </row>
    <row r="545" spans="3:3" x14ac:dyDescent="0.3">
      <c r="C545" s="53" t="str">
        <f t="shared" ref="C545:C608" si="9">IF(ISBLANK(B545),"",PROPER(TEXT(B545,"MMMM")))</f>
        <v/>
      </c>
    </row>
    <row r="546" spans="3:3" x14ac:dyDescent="0.3">
      <c r="C546" s="53" t="str">
        <f t="shared" si="9"/>
        <v/>
      </c>
    </row>
    <row r="547" spans="3:3" x14ac:dyDescent="0.3">
      <c r="C547" s="53" t="str">
        <f t="shared" si="9"/>
        <v/>
      </c>
    </row>
    <row r="548" spans="3:3" x14ac:dyDescent="0.3">
      <c r="C548" s="53" t="str">
        <f t="shared" si="9"/>
        <v/>
      </c>
    </row>
    <row r="549" spans="3:3" x14ac:dyDescent="0.3">
      <c r="C549" s="53" t="str">
        <f t="shared" si="9"/>
        <v/>
      </c>
    </row>
    <row r="550" spans="3:3" x14ac:dyDescent="0.3">
      <c r="C550" s="53" t="str">
        <f t="shared" si="9"/>
        <v/>
      </c>
    </row>
    <row r="551" spans="3:3" x14ac:dyDescent="0.3">
      <c r="C551" s="53" t="str">
        <f t="shared" si="9"/>
        <v/>
      </c>
    </row>
    <row r="552" spans="3:3" x14ac:dyDescent="0.3">
      <c r="C552" s="53" t="str">
        <f t="shared" si="9"/>
        <v/>
      </c>
    </row>
    <row r="553" spans="3:3" x14ac:dyDescent="0.3">
      <c r="C553" s="53" t="str">
        <f t="shared" si="9"/>
        <v/>
      </c>
    </row>
    <row r="554" spans="3:3" x14ac:dyDescent="0.3">
      <c r="C554" s="53" t="str">
        <f t="shared" si="9"/>
        <v/>
      </c>
    </row>
    <row r="555" spans="3:3" x14ac:dyDescent="0.3">
      <c r="C555" s="53" t="str">
        <f t="shared" si="9"/>
        <v/>
      </c>
    </row>
    <row r="556" spans="3:3" x14ac:dyDescent="0.3">
      <c r="C556" s="53" t="str">
        <f t="shared" si="9"/>
        <v/>
      </c>
    </row>
    <row r="557" spans="3:3" x14ac:dyDescent="0.3">
      <c r="C557" s="53" t="str">
        <f t="shared" si="9"/>
        <v/>
      </c>
    </row>
    <row r="558" spans="3:3" x14ac:dyDescent="0.3">
      <c r="C558" s="53" t="str">
        <f t="shared" si="9"/>
        <v/>
      </c>
    </row>
    <row r="559" spans="3:3" x14ac:dyDescent="0.3">
      <c r="C559" s="53" t="str">
        <f t="shared" si="9"/>
        <v/>
      </c>
    </row>
    <row r="560" spans="3:3" x14ac:dyDescent="0.3">
      <c r="C560" s="53" t="str">
        <f t="shared" si="9"/>
        <v/>
      </c>
    </row>
    <row r="561" spans="3:3" x14ac:dyDescent="0.3">
      <c r="C561" s="53" t="str">
        <f t="shared" si="9"/>
        <v/>
      </c>
    </row>
    <row r="562" spans="3:3" x14ac:dyDescent="0.3">
      <c r="C562" s="53" t="str">
        <f t="shared" si="9"/>
        <v/>
      </c>
    </row>
    <row r="563" spans="3:3" x14ac:dyDescent="0.3">
      <c r="C563" s="53" t="str">
        <f t="shared" si="9"/>
        <v/>
      </c>
    </row>
    <row r="564" spans="3:3" x14ac:dyDescent="0.3">
      <c r="C564" s="53" t="str">
        <f t="shared" si="9"/>
        <v/>
      </c>
    </row>
    <row r="565" spans="3:3" x14ac:dyDescent="0.3">
      <c r="C565" s="53" t="str">
        <f t="shared" si="9"/>
        <v/>
      </c>
    </row>
    <row r="566" spans="3:3" x14ac:dyDescent="0.3">
      <c r="C566" s="53" t="str">
        <f t="shared" si="9"/>
        <v/>
      </c>
    </row>
    <row r="567" spans="3:3" x14ac:dyDescent="0.3">
      <c r="C567" s="53" t="str">
        <f t="shared" si="9"/>
        <v/>
      </c>
    </row>
    <row r="568" spans="3:3" x14ac:dyDescent="0.3">
      <c r="C568" s="53" t="str">
        <f t="shared" si="9"/>
        <v/>
      </c>
    </row>
    <row r="569" spans="3:3" x14ac:dyDescent="0.3">
      <c r="C569" s="53" t="str">
        <f t="shared" si="9"/>
        <v/>
      </c>
    </row>
    <row r="570" spans="3:3" x14ac:dyDescent="0.3">
      <c r="C570" s="53" t="str">
        <f t="shared" si="9"/>
        <v/>
      </c>
    </row>
    <row r="571" spans="3:3" x14ac:dyDescent="0.3">
      <c r="C571" s="53" t="str">
        <f t="shared" si="9"/>
        <v/>
      </c>
    </row>
    <row r="572" spans="3:3" x14ac:dyDescent="0.3">
      <c r="C572" s="53" t="str">
        <f t="shared" si="9"/>
        <v/>
      </c>
    </row>
    <row r="573" spans="3:3" x14ac:dyDescent="0.3">
      <c r="C573" s="53" t="str">
        <f t="shared" si="9"/>
        <v/>
      </c>
    </row>
    <row r="574" spans="3:3" x14ac:dyDescent="0.3">
      <c r="C574" s="53" t="str">
        <f t="shared" si="9"/>
        <v/>
      </c>
    </row>
    <row r="575" spans="3:3" x14ac:dyDescent="0.3">
      <c r="C575" s="53" t="str">
        <f t="shared" si="9"/>
        <v/>
      </c>
    </row>
    <row r="576" spans="3:3" x14ac:dyDescent="0.3">
      <c r="C576" s="53" t="str">
        <f t="shared" si="9"/>
        <v/>
      </c>
    </row>
    <row r="577" spans="3:3" x14ac:dyDescent="0.3">
      <c r="C577" s="53" t="str">
        <f t="shared" si="9"/>
        <v/>
      </c>
    </row>
    <row r="578" spans="3:3" x14ac:dyDescent="0.3">
      <c r="C578" s="53" t="str">
        <f t="shared" si="9"/>
        <v/>
      </c>
    </row>
    <row r="579" spans="3:3" x14ac:dyDescent="0.3">
      <c r="C579" s="53" t="str">
        <f t="shared" si="9"/>
        <v/>
      </c>
    </row>
    <row r="580" spans="3:3" x14ac:dyDescent="0.3">
      <c r="C580" s="53" t="str">
        <f t="shared" si="9"/>
        <v/>
      </c>
    </row>
    <row r="581" spans="3:3" x14ac:dyDescent="0.3">
      <c r="C581" s="53" t="str">
        <f t="shared" si="9"/>
        <v/>
      </c>
    </row>
    <row r="582" spans="3:3" x14ac:dyDescent="0.3">
      <c r="C582" s="53" t="str">
        <f t="shared" si="9"/>
        <v/>
      </c>
    </row>
    <row r="583" spans="3:3" x14ac:dyDescent="0.3">
      <c r="C583" s="53" t="str">
        <f t="shared" si="9"/>
        <v/>
      </c>
    </row>
    <row r="584" spans="3:3" x14ac:dyDescent="0.3">
      <c r="C584" s="53" t="str">
        <f t="shared" si="9"/>
        <v/>
      </c>
    </row>
    <row r="585" spans="3:3" x14ac:dyDescent="0.3">
      <c r="C585" s="53" t="str">
        <f t="shared" si="9"/>
        <v/>
      </c>
    </row>
    <row r="586" spans="3:3" x14ac:dyDescent="0.3">
      <c r="C586" s="53" t="str">
        <f t="shared" si="9"/>
        <v/>
      </c>
    </row>
    <row r="587" spans="3:3" x14ac:dyDescent="0.3">
      <c r="C587" s="53" t="str">
        <f t="shared" si="9"/>
        <v/>
      </c>
    </row>
    <row r="588" spans="3:3" x14ac:dyDescent="0.3">
      <c r="C588" s="53" t="str">
        <f t="shared" si="9"/>
        <v/>
      </c>
    </row>
    <row r="589" spans="3:3" x14ac:dyDescent="0.3">
      <c r="C589" s="53" t="str">
        <f t="shared" si="9"/>
        <v/>
      </c>
    </row>
    <row r="590" spans="3:3" x14ac:dyDescent="0.3">
      <c r="C590" s="53" t="str">
        <f t="shared" si="9"/>
        <v/>
      </c>
    </row>
    <row r="591" spans="3:3" x14ac:dyDescent="0.3">
      <c r="C591" s="53" t="str">
        <f t="shared" si="9"/>
        <v/>
      </c>
    </row>
    <row r="592" spans="3:3" x14ac:dyDescent="0.3">
      <c r="C592" s="53" t="str">
        <f t="shared" si="9"/>
        <v/>
      </c>
    </row>
    <row r="593" spans="3:3" x14ac:dyDescent="0.3">
      <c r="C593" s="53" t="str">
        <f t="shared" si="9"/>
        <v/>
      </c>
    </row>
    <row r="594" spans="3:3" x14ac:dyDescent="0.3">
      <c r="C594" s="53" t="str">
        <f t="shared" si="9"/>
        <v/>
      </c>
    </row>
    <row r="595" spans="3:3" x14ac:dyDescent="0.3">
      <c r="C595" s="53" t="str">
        <f t="shared" si="9"/>
        <v/>
      </c>
    </row>
    <row r="596" spans="3:3" x14ac:dyDescent="0.3">
      <c r="C596" s="53" t="str">
        <f t="shared" si="9"/>
        <v/>
      </c>
    </row>
    <row r="597" spans="3:3" x14ac:dyDescent="0.3">
      <c r="C597" s="53" t="str">
        <f t="shared" si="9"/>
        <v/>
      </c>
    </row>
    <row r="598" spans="3:3" x14ac:dyDescent="0.3">
      <c r="C598" s="53" t="str">
        <f t="shared" si="9"/>
        <v/>
      </c>
    </row>
    <row r="599" spans="3:3" x14ac:dyDescent="0.3">
      <c r="C599" s="53" t="str">
        <f t="shared" si="9"/>
        <v/>
      </c>
    </row>
    <row r="600" spans="3:3" x14ac:dyDescent="0.3">
      <c r="C600" s="53" t="str">
        <f t="shared" si="9"/>
        <v/>
      </c>
    </row>
    <row r="601" spans="3:3" x14ac:dyDescent="0.3">
      <c r="C601" s="53" t="str">
        <f t="shared" si="9"/>
        <v/>
      </c>
    </row>
    <row r="602" spans="3:3" x14ac:dyDescent="0.3">
      <c r="C602" s="53" t="str">
        <f t="shared" si="9"/>
        <v/>
      </c>
    </row>
    <row r="603" spans="3:3" x14ac:dyDescent="0.3">
      <c r="C603" s="53" t="str">
        <f t="shared" si="9"/>
        <v/>
      </c>
    </row>
    <row r="604" spans="3:3" x14ac:dyDescent="0.3">
      <c r="C604" s="53" t="str">
        <f t="shared" si="9"/>
        <v/>
      </c>
    </row>
    <row r="605" spans="3:3" x14ac:dyDescent="0.3">
      <c r="C605" s="53" t="str">
        <f t="shared" si="9"/>
        <v/>
      </c>
    </row>
    <row r="606" spans="3:3" x14ac:dyDescent="0.3">
      <c r="C606" s="53" t="str">
        <f t="shared" si="9"/>
        <v/>
      </c>
    </row>
    <row r="607" spans="3:3" x14ac:dyDescent="0.3">
      <c r="C607" s="53" t="str">
        <f t="shared" si="9"/>
        <v/>
      </c>
    </row>
    <row r="608" spans="3:3" x14ac:dyDescent="0.3">
      <c r="C608" s="53" t="str">
        <f t="shared" si="9"/>
        <v/>
      </c>
    </row>
    <row r="609" spans="3:3" x14ac:dyDescent="0.3">
      <c r="C609" s="53" t="str">
        <f t="shared" ref="C609:C672" si="10">IF(ISBLANK(B609),"",PROPER(TEXT(B609,"MMMM")))</f>
        <v/>
      </c>
    </row>
    <row r="610" spans="3:3" x14ac:dyDescent="0.3">
      <c r="C610" s="53" t="str">
        <f t="shared" si="10"/>
        <v/>
      </c>
    </row>
    <row r="611" spans="3:3" x14ac:dyDescent="0.3">
      <c r="C611" s="53" t="str">
        <f t="shared" si="10"/>
        <v/>
      </c>
    </row>
    <row r="612" spans="3:3" x14ac:dyDescent="0.3">
      <c r="C612" s="53" t="str">
        <f t="shared" si="10"/>
        <v/>
      </c>
    </row>
    <row r="613" spans="3:3" x14ac:dyDescent="0.3">
      <c r="C613" s="53" t="str">
        <f t="shared" si="10"/>
        <v/>
      </c>
    </row>
    <row r="614" spans="3:3" x14ac:dyDescent="0.3">
      <c r="C614" s="53" t="str">
        <f t="shared" si="10"/>
        <v/>
      </c>
    </row>
    <row r="615" spans="3:3" x14ac:dyDescent="0.3">
      <c r="C615" s="53" t="str">
        <f t="shared" si="10"/>
        <v/>
      </c>
    </row>
    <row r="616" spans="3:3" x14ac:dyDescent="0.3">
      <c r="C616" s="53" t="str">
        <f t="shared" si="10"/>
        <v/>
      </c>
    </row>
    <row r="617" spans="3:3" x14ac:dyDescent="0.3">
      <c r="C617" s="53" t="str">
        <f t="shared" si="10"/>
        <v/>
      </c>
    </row>
    <row r="618" spans="3:3" x14ac:dyDescent="0.3">
      <c r="C618" s="53" t="str">
        <f t="shared" si="10"/>
        <v/>
      </c>
    </row>
    <row r="619" spans="3:3" x14ac:dyDescent="0.3">
      <c r="C619" s="53" t="str">
        <f t="shared" si="10"/>
        <v/>
      </c>
    </row>
    <row r="620" spans="3:3" x14ac:dyDescent="0.3">
      <c r="C620" s="53" t="str">
        <f t="shared" si="10"/>
        <v/>
      </c>
    </row>
    <row r="621" spans="3:3" x14ac:dyDescent="0.3">
      <c r="C621" s="53" t="str">
        <f t="shared" si="10"/>
        <v/>
      </c>
    </row>
    <row r="622" spans="3:3" x14ac:dyDescent="0.3">
      <c r="C622" s="53" t="str">
        <f t="shared" si="10"/>
        <v/>
      </c>
    </row>
    <row r="623" spans="3:3" x14ac:dyDescent="0.3">
      <c r="C623" s="53" t="str">
        <f t="shared" si="10"/>
        <v/>
      </c>
    </row>
    <row r="624" spans="3:3" x14ac:dyDescent="0.3">
      <c r="C624" s="53" t="str">
        <f t="shared" si="10"/>
        <v/>
      </c>
    </row>
    <row r="625" spans="3:3" x14ac:dyDescent="0.3">
      <c r="C625" s="53" t="str">
        <f t="shared" si="10"/>
        <v/>
      </c>
    </row>
    <row r="626" spans="3:3" x14ac:dyDescent="0.3">
      <c r="C626" s="53" t="str">
        <f t="shared" si="10"/>
        <v/>
      </c>
    </row>
    <row r="627" spans="3:3" x14ac:dyDescent="0.3">
      <c r="C627" s="53" t="str">
        <f t="shared" si="10"/>
        <v/>
      </c>
    </row>
    <row r="628" spans="3:3" x14ac:dyDescent="0.3">
      <c r="C628" s="53" t="str">
        <f t="shared" si="10"/>
        <v/>
      </c>
    </row>
    <row r="629" spans="3:3" x14ac:dyDescent="0.3">
      <c r="C629" s="53" t="str">
        <f t="shared" si="10"/>
        <v/>
      </c>
    </row>
    <row r="630" spans="3:3" x14ac:dyDescent="0.3">
      <c r="C630" s="53" t="str">
        <f t="shared" si="10"/>
        <v/>
      </c>
    </row>
    <row r="631" spans="3:3" x14ac:dyDescent="0.3">
      <c r="C631" s="53" t="str">
        <f t="shared" si="10"/>
        <v/>
      </c>
    </row>
    <row r="632" spans="3:3" x14ac:dyDescent="0.3">
      <c r="C632" s="53" t="str">
        <f t="shared" si="10"/>
        <v/>
      </c>
    </row>
    <row r="633" spans="3:3" x14ac:dyDescent="0.3">
      <c r="C633" s="53" t="str">
        <f t="shared" si="10"/>
        <v/>
      </c>
    </row>
    <row r="634" spans="3:3" x14ac:dyDescent="0.3">
      <c r="C634" s="53" t="str">
        <f t="shared" si="10"/>
        <v/>
      </c>
    </row>
    <row r="635" spans="3:3" x14ac:dyDescent="0.3">
      <c r="C635" s="53" t="str">
        <f t="shared" si="10"/>
        <v/>
      </c>
    </row>
    <row r="636" spans="3:3" x14ac:dyDescent="0.3">
      <c r="C636" s="53" t="str">
        <f t="shared" si="10"/>
        <v/>
      </c>
    </row>
    <row r="637" spans="3:3" x14ac:dyDescent="0.3">
      <c r="C637" s="53" t="str">
        <f t="shared" si="10"/>
        <v/>
      </c>
    </row>
    <row r="638" spans="3:3" x14ac:dyDescent="0.3">
      <c r="C638" s="53" t="str">
        <f t="shared" si="10"/>
        <v/>
      </c>
    </row>
    <row r="639" spans="3:3" x14ac:dyDescent="0.3">
      <c r="C639" s="53" t="str">
        <f t="shared" si="10"/>
        <v/>
      </c>
    </row>
    <row r="640" spans="3:3" x14ac:dyDescent="0.3">
      <c r="C640" s="53" t="str">
        <f t="shared" si="10"/>
        <v/>
      </c>
    </row>
    <row r="641" spans="3:3" x14ac:dyDescent="0.3">
      <c r="C641" s="53" t="str">
        <f t="shared" si="10"/>
        <v/>
      </c>
    </row>
    <row r="642" spans="3:3" x14ac:dyDescent="0.3">
      <c r="C642" s="53" t="str">
        <f t="shared" si="10"/>
        <v/>
      </c>
    </row>
    <row r="643" spans="3:3" x14ac:dyDescent="0.3">
      <c r="C643" s="53" t="str">
        <f t="shared" si="10"/>
        <v/>
      </c>
    </row>
    <row r="644" spans="3:3" x14ac:dyDescent="0.3">
      <c r="C644" s="53" t="str">
        <f t="shared" si="10"/>
        <v/>
      </c>
    </row>
    <row r="645" spans="3:3" x14ac:dyDescent="0.3">
      <c r="C645" s="53" t="str">
        <f t="shared" si="10"/>
        <v/>
      </c>
    </row>
    <row r="646" spans="3:3" x14ac:dyDescent="0.3">
      <c r="C646" s="53" t="str">
        <f t="shared" si="10"/>
        <v/>
      </c>
    </row>
    <row r="647" spans="3:3" x14ac:dyDescent="0.3">
      <c r="C647" s="53" t="str">
        <f t="shared" si="10"/>
        <v/>
      </c>
    </row>
    <row r="648" spans="3:3" x14ac:dyDescent="0.3">
      <c r="C648" s="53" t="str">
        <f t="shared" si="10"/>
        <v/>
      </c>
    </row>
    <row r="649" spans="3:3" x14ac:dyDescent="0.3">
      <c r="C649" s="53" t="str">
        <f t="shared" si="10"/>
        <v/>
      </c>
    </row>
    <row r="650" spans="3:3" x14ac:dyDescent="0.3">
      <c r="C650" s="53" t="str">
        <f t="shared" si="10"/>
        <v/>
      </c>
    </row>
    <row r="651" spans="3:3" x14ac:dyDescent="0.3">
      <c r="C651" s="53" t="str">
        <f t="shared" si="10"/>
        <v/>
      </c>
    </row>
    <row r="652" spans="3:3" x14ac:dyDescent="0.3">
      <c r="C652" s="53" t="str">
        <f t="shared" si="10"/>
        <v/>
      </c>
    </row>
    <row r="653" spans="3:3" x14ac:dyDescent="0.3">
      <c r="C653" s="53" t="str">
        <f t="shared" si="10"/>
        <v/>
      </c>
    </row>
    <row r="654" spans="3:3" x14ac:dyDescent="0.3">
      <c r="C654" s="53" t="str">
        <f t="shared" si="10"/>
        <v/>
      </c>
    </row>
    <row r="655" spans="3:3" x14ac:dyDescent="0.3">
      <c r="C655" s="53" t="str">
        <f t="shared" si="10"/>
        <v/>
      </c>
    </row>
    <row r="656" spans="3:3" x14ac:dyDescent="0.3">
      <c r="C656" s="53" t="str">
        <f t="shared" si="10"/>
        <v/>
      </c>
    </row>
    <row r="657" spans="3:3" x14ac:dyDescent="0.3">
      <c r="C657" s="53" t="str">
        <f t="shared" si="10"/>
        <v/>
      </c>
    </row>
    <row r="658" spans="3:3" x14ac:dyDescent="0.3">
      <c r="C658" s="53" t="str">
        <f t="shared" si="10"/>
        <v/>
      </c>
    </row>
    <row r="659" spans="3:3" x14ac:dyDescent="0.3">
      <c r="C659" s="53" t="str">
        <f t="shared" si="10"/>
        <v/>
      </c>
    </row>
    <row r="660" spans="3:3" x14ac:dyDescent="0.3">
      <c r="C660" s="53" t="str">
        <f t="shared" si="10"/>
        <v/>
      </c>
    </row>
    <row r="661" spans="3:3" x14ac:dyDescent="0.3">
      <c r="C661" s="53" t="str">
        <f t="shared" si="10"/>
        <v/>
      </c>
    </row>
    <row r="662" spans="3:3" x14ac:dyDescent="0.3">
      <c r="C662" s="53" t="str">
        <f t="shared" si="10"/>
        <v/>
      </c>
    </row>
    <row r="663" spans="3:3" x14ac:dyDescent="0.3">
      <c r="C663" s="53" t="str">
        <f t="shared" si="10"/>
        <v/>
      </c>
    </row>
    <row r="664" spans="3:3" x14ac:dyDescent="0.3">
      <c r="C664" s="53" t="str">
        <f t="shared" si="10"/>
        <v/>
      </c>
    </row>
    <row r="665" spans="3:3" x14ac:dyDescent="0.3">
      <c r="C665" s="53" t="str">
        <f t="shared" si="10"/>
        <v/>
      </c>
    </row>
    <row r="666" spans="3:3" x14ac:dyDescent="0.3">
      <c r="C666" s="53" t="str">
        <f t="shared" si="10"/>
        <v/>
      </c>
    </row>
    <row r="667" spans="3:3" x14ac:dyDescent="0.3">
      <c r="C667" s="53" t="str">
        <f t="shared" si="10"/>
        <v/>
      </c>
    </row>
    <row r="668" spans="3:3" x14ac:dyDescent="0.3">
      <c r="C668" s="53" t="str">
        <f t="shared" si="10"/>
        <v/>
      </c>
    </row>
    <row r="669" spans="3:3" x14ac:dyDescent="0.3">
      <c r="C669" s="53" t="str">
        <f t="shared" si="10"/>
        <v/>
      </c>
    </row>
    <row r="670" spans="3:3" x14ac:dyDescent="0.3">
      <c r="C670" s="53" t="str">
        <f t="shared" si="10"/>
        <v/>
      </c>
    </row>
    <row r="671" spans="3:3" x14ac:dyDescent="0.3">
      <c r="C671" s="53" t="str">
        <f t="shared" si="10"/>
        <v/>
      </c>
    </row>
    <row r="672" spans="3:3" x14ac:dyDescent="0.3">
      <c r="C672" s="53" t="str">
        <f t="shared" si="10"/>
        <v/>
      </c>
    </row>
    <row r="673" spans="3:3" x14ac:dyDescent="0.3">
      <c r="C673" s="53" t="str">
        <f t="shared" ref="C673:C736" si="11">IF(ISBLANK(B673),"",PROPER(TEXT(B673,"MMMM")))</f>
        <v/>
      </c>
    </row>
    <row r="674" spans="3:3" x14ac:dyDescent="0.3">
      <c r="C674" s="53" t="str">
        <f t="shared" si="11"/>
        <v/>
      </c>
    </row>
    <row r="675" spans="3:3" x14ac:dyDescent="0.3">
      <c r="C675" s="53" t="str">
        <f t="shared" si="11"/>
        <v/>
      </c>
    </row>
    <row r="676" spans="3:3" x14ac:dyDescent="0.3">
      <c r="C676" s="53" t="str">
        <f t="shared" si="11"/>
        <v/>
      </c>
    </row>
    <row r="677" spans="3:3" x14ac:dyDescent="0.3">
      <c r="C677" s="53" t="str">
        <f t="shared" si="11"/>
        <v/>
      </c>
    </row>
    <row r="678" spans="3:3" x14ac:dyDescent="0.3">
      <c r="C678" s="53" t="str">
        <f t="shared" si="11"/>
        <v/>
      </c>
    </row>
    <row r="679" spans="3:3" x14ac:dyDescent="0.3">
      <c r="C679" s="53" t="str">
        <f t="shared" si="11"/>
        <v/>
      </c>
    </row>
    <row r="680" spans="3:3" x14ac:dyDescent="0.3">
      <c r="C680" s="53" t="str">
        <f t="shared" si="11"/>
        <v/>
      </c>
    </row>
    <row r="681" spans="3:3" x14ac:dyDescent="0.3">
      <c r="C681" s="53" t="str">
        <f t="shared" si="11"/>
        <v/>
      </c>
    </row>
    <row r="682" spans="3:3" x14ac:dyDescent="0.3">
      <c r="C682" s="53" t="str">
        <f t="shared" si="11"/>
        <v/>
      </c>
    </row>
    <row r="683" spans="3:3" x14ac:dyDescent="0.3">
      <c r="C683" s="53" t="str">
        <f t="shared" si="11"/>
        <v/>
      </c>
    </row>
    <row r="684" spans="3:3" x14ac:dyDescent="0.3">
      <c r="C684" s="53" t="str">
        <f t="shared" si="11"/>
        <v/>
      </c>
    </row>
    <row r="685" spans="3:3" x14ac:dyDescent="0.3">
      <c r="C685" s="53" t="str">
        <f t="shared" si="11"/>
        <v/>
      </c>
    </row>
    <row r="686" spans="3:3" x14ac:dyDescent="0.3">
      <c r="C686" s="53" t="str">
        <f t="shared" si="11"/>
        <v/>
      </c>
    </row>
    <row r="687" spans="3:3" x14ac:dyDescent="0.3">
      <c r="C687" s="53" t="str">
        <f t="shared" si="11"/>
        <v/>
      </c>
    </row>
    <row r="688" spans="3:3" x14ac:dyDescent="0.3">
      <c r="C688" s="53" t="str">
        <f t="shared" si="11"/>
        <v/>
      </c>
    </row>
    <row r="689" spans="3:3" x14ac:dyDescent="0.3">
      <c r="C689" s="53" t="str">
        <f t="shared" si="11"/>
        <v/>
      </c>
    </row>
    <row r="690" spans="3:3" x14ac:dyDescent="0.3">
      <c r="C690" s="53" t="str">
        <f t="shared" si="11"/>
        <v/>
      </c>
    </row>
    <row r="691" spans="3:3" x14ac:dyDescent="0.3">
      <c r="C691" s="53" t="str">
        <f t="shared" si="11"/>
        <v/>
      </c>
    </row>
    <row r="692" spans="3:3" x14ac:dyDescent="0.3">
      <c r="C692" s="53" t="str">
        <f t="shared" si="11"/>
        <v/>
      </c>
    </row>
    <row r="693" spans="3:3" x14ac:dyDescent="0.3">
      <c r="C693" s="53" t="str">
        <f t="shared" si="11"/>
        <v/>
      </c>
    </row>
    <row r="694" spans="3:3" x14ac:dyDescent="0.3">
      <c r="C694" s="53" t="str">
        <f t="shared" si="11"/>
        <v/>
      </c>
    </row>
    <row r="695" spans="3:3" x14ac:dyDescent="0.3">
      <c r="C695" s="53" t="str">
        <f t="shared" si="11"/>
        <v/>
      </c>
    </row>
    <row r="696" spans="3:3" x14ac:dyDescent="0.3">
      <c r="C696" s="53" t="str">
        <f t="shared" si="11"/>
        <v/>
      </c>
    </row>
    <row r="697" spans="3:3" x14ac:dyDescent="0.3">
      <c r="C697" s="53" t="str">
        <f t="shared" si="11"/>
        <v/>
      </c>
    </row>
    <row r="698" spans="3:3" x14ac:dyDescent="0.3">
      <c r="C698" s="53" t="str">
        <f t="shared" si="11"/>
        <v/>
      </c>
    </row>
    <row r="699" spans="3:3" x14ac:dyDescent="0.3">
      <c r="C699" s="53" t="str">
        <f t="shared" si="11"/>
        <v/>
      </c>
    </row>
    <row r="700" spans="3:3" x14ac:dyDescent="0.3">
      <c r="C700" s="53" t="str">
        <f t="shared" si="11"/>
        <v/>
      </c>
    </row>
    <row r="701" spans="3:3" x14ac:dyDescent="0.3">
      <c r="C701" s="53" t="str">
        <f t="shared" si="11"/>
        <v/>
      </c>
    </row>
    <row r="702" spans="3:3" x14ac:dyDescent="0.3">
      <c r="C702" s="53" t="str">
        <f t="shared" si="11"/>
        <v/>
      </c>
    </row>
    <row r="703" spans="3:3" x14ac:dyDescent="0.3">
      <c r="C703" s="53" t="str">
        <f t="shared" si="11"/>
        <v/>
      </c>
    </row>
    <row r="704" spans="3:3" x14ac:dyDescent="0.3">
      <c r="C704" s="53" t="str">
        <f t="shared" si="11"/>
        <v/>
      </c>
    </row>
    <row r="705" spans="3:3" x14ac:dyDescent="0.3">
      <c r="C705" s="53" t="str">
        <f t="shared" si="11"/>
        <v/>
      </c>
    </row>
    <row r="706" spans="3:3" x14ac:dyDescent="0.3">
      <c r="C706" s="53" t="str">
        <f t="shared" si="11"/>
        <v/>
      </c>
    </row>
    <row r="707" spans="3:3" x14ac:dyDescent="0.3">
      <c r="C707" s="53" t="str">
        <f t="shared" si="11"/>
        <v/>
      </c>
    </row>
    <row r="708" spans="3:3" x14ac:dyDescent="0.3">
      <c r="C708" s="53" t="str">
        <f t="shared" si="11"/>
        <v/>
      </c>
    </row>
    <row r="709" spans="3:3" x14ac:dyDescent="0.3">
      <c r="C709" s="53" t="str">
        <f t="shared" si="11"/>
        <v/>
      </c>
    </row>
    <row r="710" spans="3:3" x14ac:dyDescent="0.3">
      <c r="C710" s="53" t="str">
        <f t="shared" si="11"/>
        <v/>
      </c>
    </row>
    <row r="711" spans="3:3" x14ac:dyDescent="0.3">
      <c r="C711" s="53" t="str">
        <f t="shared" si="11"/>
        <v/>
      </c>
    </row>
    <row r="712" spans="3:3" x14ac:dyDescent="0.3">
      <c r="C712" s="53" t="str">
        <f t="shared" si="11"/>
        <v/>
      </c>
    </row>
    <row r="713" spans="3:3" x14ac:dyDescent="0.3">
      <c r="C713" s="53" t="str">
        <f t="shared" si="11"/>
        <v/>
      </c>
    </row>
    <row r="714" spans="3:3" x14ac:dyDescent="0.3">
      <c r="C714" s="53" t="str">
        <f t="shared" si="11"/>
        <v/>
      </c>
    </row>
    <row r="715" spans="3:3" x14ac:dyDescent="0.3">
      <c r="C715" s="53" t="str">
        <f t="shared" si="11"/>
        <v/>
      </c>
    </row>
    <row r="716" spans="3:3" x14ac:dyDescent="0.3">
      <c r="C716" s="53" t="str">
        <f t="shared" si="11"/>
        <v/>
      </c>
    </row>
    <row r="717" spans="3:3" x14ac:dyDescent="0.3">
      <c r="C717" s="53" t="str">
        <f t="shared" si="11"/>
        <v/>
      </c>
    </row>
    <row r="718" spans="3:3" x14ac:dyDescent="0.3">
      <c r="C718" s="53" t="str">
        <f t="shared" si="11"/>
        <v/>
      </c>
    </row>
    <row r="719" spans="3:3" x14ac:dyDescent="0.3">
      <c r="C719" s="53" t="str">
        <f t="shared" si="11"/>
        <v/>
      </c>
    </row>
    <row r="720" spans="3:3" x14ac:dyDescent="0.3">
      <c r="C720" s="53" t="str">
        <f t="shared" si="11"/>
        <v/>
      </c>
    </row>
    <row r="721" spans="3:3" x14ac:dyDescent="0.3">
      <c r="C721" s="53" t="str">
        <f t="shared" si="11"/>
        <v/>
      </c>
    </row>
    <row r="722" spans="3:3" x14ac:dyDescent="0.3">
      <c r="C722" s="53" t="str">
        <f t="shared" si="11"/>
        <v/>
      </c>
    </row>
    <row r="723" spans="3:3" x14ac:dyDescent="0.3">
      <c r="C723" s="53" t="str">
        <f t="shared" si="11"/>
        <v/>
      </c>
    </row>
    <row r="724" spans="3:3" x14ac:dyDescent="0.3">
      <c r="C724" s="53" t="str">
        <f t="shared" si="11"/>
        <v/>
      </c>
    </row>
    <row r="725" spans="3:3" x14ac:dyDescent="0.3">
      <c r="C725" s="53" t="str">
        <f t="shared" si="11"/>
        <v/>
      </c>
    </row>
    <row r="726" spans="3:3" x14ac:dyDescent="0.3">
      <c r="C726" s="53" t="str">
        <f t="shared" si="11"/>
        <v/>
      </c>
    </row>
    <row r="727" spans="3:3" x14ac:dyDescent="0.3">
      <c r="C727" s="53" t="str">
        <f t="shared" si="11"/>
        <v/>
      </c>
    </row>
    <row r="728" spans="3:3" x14ac:dyDescent="0.3">
      <c r="C728" s="53" t="str">
        <f t="shared" si="11"/>
        <v/>
      </c>
    </row>
    <row r="729" spans="3:3" x14ac:dyDescent="0.3">
      <c r="C729" s="53" t="str">
        <f t="shared" si="11"/>
        <v/>
      </c>
    </row>
    <row r="730" spans="3:3" x14ac:dyDescent="0.3">
      <c r="C730" s="53" t="str">
        <f t="shared" si="11"/>
        <v/>
      </c>
    </row>
    <row r="731" spans="3:3" x14ac:dyDescent="0.3">
      <c r="C731" s="53" t="str">
        <f t="shared" si="11"/>
        <v/>
      </c>
    </row>
    <row r="732" spans="3:3" x14ac:dyDescent="0.3">
      <c r="C732" s="53" t="str">
        <f t="shared" si="11"/>
        <v/>
      </c>
    </row>
    <row r="733" spans="3:3" x14ac:dyDescent="0.3">
      <c r="C733" s="53" t="str">
        <f t="shared" si="11"/>
        <v/>
      </c>
    </row>
    <row r="734" spans="3:3" x14ac:dyDescent="0.3">
      <c r="C734" s="53" t="str">
        <f t="shared" si="11"/>
        <v/>
      </c>
    </row>
    <row r="735" spans="3:3" x14ac:dyDescent="0.3">
      <c r="C735" s="53" t="str">
        <f t="shared" si="11"/>
        <v/>
      </c>
    </row>
    <row r="736" spans="3:3" x14ac:dyDescent="0.3">
      <c r="C736" s="53" t="str">
        <f t="shared" si="11"/>
        <v/>
      </c>
    </row>
    <row r="737" spans="3:3" x14ac:dyDescent="0.3">
      <c r="C737" s="53" t="str">
        <f t="shared" ref="C737:C785" si="12">IF(ISBLANK(B737),"",PROPER(TEXT(B737,"MMMM")))</f>
        <v/>
      </c>
    </row>
    <row r="738" spans="3:3" x14ac:dyDescent="0.3">
      <c r="C738" s="53" t="str">
        <f t="shared" si="12"/>
        <v/>
      </c>
    </row>
    <row r="739" spans="3:3" x14ac:dyDescent="0.3">
      <c r="C739" s="53" t="str">
        <f t="shared" si="12"/>
        <v/>
      </c>
    </row>
    <row r="740" spans="3:3" x14ac:dyDescent="0.3">
      <c r="C740" s="53" t="str">
        <f t="shared" si="12"/>
        <v/>
      </c>
    </row>
    <row r="741" spans="3:3" x14ac:dyDescent="0.3">
      <c r="C741" s="53" t="str">
        <f t="shared" si="12"/>
        <v/>
      </c>
    </row>
    <row r="742" spans="3:3" x14ac:dyDescent="0.3">
      <c r="C742" s="53" t="str">
        <f t="shared" si="12"/>
        <v/>
      </c>
    </row>
    <row r="743" spans="3:3" x14ac:dyDescent="0.3">
      <c r="C743" s="53" t="str">
        <f t="shared" si="12"/>
        <v/>
      </c>
    </row>
    <row r="744" spans="3:3" x14ac:dyDescent="0.3">
      <c r="C744" s="53" t="str">
        <f t="shared" si="12"/>
        <v/>
      </c>
    </row>
    <row r="745" spans="3:3" x14ac:dyDescent="0.3">
      <c r="C745" s="53" t="str">
        <f t="shared" si="12"/>
        <v/>
      </c>
    </row>
    <row r="746" spans="3:3" x14ac:dyDescent="0.3">
      <c r="C746" s="53" t="str">
        <f t="shared" si="12"/>
        <v/>
      </c>
    </row>
    <row r="747" spans="3:3" x14ac:dyDescent="0.3">
      <c r="C747" s="53" t="str">
        <f t="shared" si="12"/>
        <v/>
      </c>
    </row>
    <row r="748" spans="3:3" x14ac:dyDescent="0.3">
      <c r="C748" s="53" t="str">
        <f t="shared" si="12"/>
        <v/>
      </c>
    </row>
    <row r="749" spans="3:3" x14ac:dyDescent="0.3">
      <c r="C749" s="53" t="str">
        <f t="shared" si="12"/>
        <v/>
      </c>
    </row>
    <row r="750" spans="3:3" x14ac:dyDescent="0.3">
      <c r="C750" s="53" t="str">
        <f t="shared" si="12"/>
        <v/>
      </c>
    </row>
    <row r="751" spans="3:3" x14ac:dyDescent="0.3">
      <c r="C751" s="53" t="str">
        <f t="shared" si="12"/>
        <v/>
      </c>
    </row>
    <row r="752" spans="3:3" x14ac:dyDescent="0.3">
      <c r="C752" s="53" t="str">
        <f t="shared" si="12"/>
        <v/>
      </c>
    </row>
    <row r="753" spans="3:3" x14ac:dyDescent="0.3">
      <c r="C753" s="53" t="str">
        <f t="shared" si="12"/>
        <v/>
      </c>
    </row>
    <row r="754" spans="3:3" x14ac:dyDescent="0.3">
      <c r="C754" s="53" t="str">
        <f t="shared" si="12"/>
        <v/>
      </c>
    </row>
    <row r="755" spans="3:3" x14ac:dyDescent="0.3">
      <c r="C755" s="53" t="str">
        <f t="shared" si="12"/>
        <v/>
      </c>
    </row>
    <row r="756" spans="3:3" x14ac:dyDescent="0.3">
      <c r="C756" s="53" t="str">
        <f t="shared" si="12"/>
        <v/>
      </c>
    </row>
    <row r="757" spans="3:3" x14ac:dyDescent="0.3">
      <c r="C757" s="53" t="str">
        <f t="shared" si="12"/>
        <v/>
      </c>
    </row>
    <row r="758" spans="3:3" x14ac:dyDescent="0.3">
      <c r="C758" s="53" t="str">
        <f t="shared" si="12"/>
        <v/>
      </c>
    </row>
    <row r="759" spans="3:3" x14ac:dyDescent="0.3">
      <c r="C759" s="53" t="str">
        <f t="shared" si="12"/>
        <v/>
      </c>
    </row>
    <row r="760" spans="3:3" x14ac:dyDescent="0.3">
      <c r="C760" s="53" t="str">
        <f t="shared" si="12"/>
        <v/>
      </c>
    </row>
    <row r="761" spans="3:3" x14ac:dyDescent="0.3">
      <c r="C761" s="53" t="str">
        <f t="shared" si="12"/>
        <v/>
      </c>
    </row>
    <row r="762" spans="3:3" x14ac:dyDescent="0.3">
      <c r="C762" s="53" t="str">
        <f t="shared" si="12"/>
        <v/>
      </c>
    </row>
    <row r="763" spans="3:3" x14ac:dyDescent="0.3">
      <c r="C763" s="53" t="str">
        <f t="shared" si="12"/>
        <v/>
      </c>
    </row>
    <row r="764" spans="3:3" x14ac:dyDescent="0.3">
      <c r="C764" s="53" t="str">
        <f t="shared" si="12"/>
        <v/>
      </c>
    </row>
    <row r="765" spans="3:3" x14ac:dyDescent="0.3">
      <c r="C765" s="53" t="str">
        <f t="shared" si="12"/>
        <v/>
      </c>
    </row>
    <row r="766" spans="3:3" x14ac:dyDescent="0.3">
      <c r="C766" s="53" t="str">
        <f t="shared" si="12"/>
        <v/>
      </c>
    </row>
    <row r="767" spans="3:3" x14ac:dyDescent="0.3">
      <c r="C767" s="53" t="str">
        <f t="shared" si="12"/>
        <v/>
      </c>
    </row>
    <row r="768" spans="3:3" x14ac:dyDescent="0.3">
      <c r="C768" s="53" t="str">
        <f t="shared" si="12"/>
        <v/>
      </c>
    </row>
    <row r="769" spans="3:3" x14ac:dyDescent="0.3">
      <c r="C769" s="53" t="str">
        <f t="shared" si="12"/>
        <v/>
      </c>
    </row>
    <row r="770" spans="3:3" x14ac:dyDescent="0.3">
      <c r="C770" s="53" t="str">
        <f t="shared" si="12"/>
        <v/>
      </c>
    </row>
    <row r="771" spans="3:3" x14ac:dyDescent="0.3">
      <c r="C771" s="53" t="str">
        <f t="shared" si="12"/>
        <v/>
      </c>
    </row>
    <row r="772" spans="3:3" x14ac:dyDescent="0.3">
      <c r="C772" s="53" t="str">
        <f t="shared" si="12"/>
        <v/>
      </c>
    </row>
    <row r="773" spans="3:3" x14ac:dyDescent="0.3">
      <c r="C773" s="53" t="str">
        <f t="shared" si="12"/>
        <v/>
      </c>
    </row>
    <row r="774" spans="3:3" x14ac:dyDescent="0.3">
      <c r="C774" s="53" t="str">
        <f t="shared" si="12"/>
        <v/>
      </c>
    </row>
    <row r="775" spans="3:3" x14ac:dyDescent="0.3">
      <c r="C775" s="53" t="str">
        <f t="shared" si="12"/>
        <v/>
      </c>
    </row>
    <row r="776" spans="3:3" x14ac:dyDescent="0.3">
      <c r="C776" s="53" t="str">
        <f t="shared" si="12"/>
        <v/>
      </c>
    </row>
    <row r="777" spans="3:3" x14ac:dyDescent="0.3">
      <c r="C777" s="53" t="str">
        <f t="shared" si="12"/>
        <v/>
      </c>
    </row>
    <row r="778" spans="3:3" x14ac:dyDescent="0.3">
      <c r="C778" s="53" t="str">
        <f t="shared" si="12"/>
        <v/>
      </c>
    </row>
    <row r="779" spans="3:3" x14ac:dyDescent="0.3">
      <c r="C779" s="53" t="str">
        <f t="shared" si="12"/>
        <v/>
      </c>
    </row>
    <row r="780" spans="3:3" x14ac:dyDescent="0.3">
      <c r="C780" s="53" t="str">
        <f t="shared" si="12"/>
        <v/>
      </c>
    </row>
    <row r="781" spans="3:3" x14ac:dyDescent="0.3">
      <c r="C781" s="53" t="str">
        <f t="shared" si="12"/>
        <v/>
      </c>
    </row>
    <row r="782" spans="3:3" x14ac:dyDescent="0.3">
      <c r="C782" s="53" t="str">
        <f t="shared" si="12"/>
        <v/>
      </c>
    </row>
    <row r="783" spans="3:3" x14ac:dyDescent="0.3">
      <c r="C783" s="53" t="str">
        <f t="shared" si="12"/>
        <v/>
      </c>
    </row>
    <row r="784" spans="3:3" x14ac:dyDescent="0.3">
      <c r="C784" s="53" t="str">
        <f t="shared" si="12"/>
        <v/>
      </c>
    </row>
    <row r="785" spans="3:3" x14ac:dyDescent="0.3">
      <c r="C785" s="53" t="str">
        <f t="shared" si="12"/>
        <v/>
      </c>
    </row>
  </sheetData>
  <phoneticPr fontId="5" type="noConversion"/>
  <conditionalFormatting sqref="C4">
    <cfRule type="dataBar" priority="1">
      <dataBar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{D475356A-CFBB-42B9-9B17-916C094A3636}</x14:id>
        </ext>
      </extLst>
    </cfRule>
  </conditionalFormatting>
  <conditionalFormatting sqref="C13:C14">
    <cfRule type="cellIs" dxfId="1" priority="2" operator="equal">
      <formula>0</formula>
    </cfRule>
    <cfRule type="cellIs" dxfId="0" priority="3" operator="notEqual">
      <formula>0</formula>
    </cfRule>
  </conditionalFormatting>
  <dataValidations count="6">
    <dataValidation type="list" allowBlank="1" showInputMessage="1" showErrorMessage="1" sqref="B3" xr:uid="{60D5F252-CE9E-4A5F-916C-4BCED7BE4850}">
      <formula1>"Expenses, Net Salary"</formula1>
    </dataValidation>
    <dataValidation type="list" allowBlank="1" showInputMessage="1" showErrorMessage="1" sqref="E17:E257" xr:uid="{E4F2BDDC-1223-4DFF-8087-7B85DF038B73}">
      <formula1>INDIRECT(D17)</formula1>
    </dataValidation>
    <dataValidation type="list" allowBlank="1" showInputMessage="1" showErrorMessage="1" sqref="D21:D257" xr:uid="{4E564D7B-00FF-4101-8D9D-5EA4D9B1919A}">
      <formula1>"Receitas, Perdas, Investimentos, Despesas, Transferir"</formula1>
    </dataValidation>
    <dataValidation type="list" allowBlank="1" showInputMessage="1" showErrorMessage="1" sqref="F17:F257" xr:uid="{0D51CC9B-6F94-4F85-BAFC-26C786BB30BC}">
      <formula1>Accounts</formula1>
    </dataValidation>
    <dataValidation type="list" allowBlank="1" showInputMessage="1" showErrorMessage="1" sqref="D17:D20" xr:uid="{0261ACD4-BAB2-4EA0-87AC-74F751F397E2}">
      <formula1>"Income, Discount, Investments, Expenses, Transfer, Payment"</formula1>
    </dataValidation>
    <dataValidation type="list" allowBlank="1" showInputMessage="1" showErrorMessage="1" sqref="B2" xr:uid="{D9270E47-B020-4CBF-A3A9-E523B28C14E7}">
      <formula1>Months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75356A-CFBB-42B9-9B17-916C094A3636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5"/>
              <x14:negativeFillColor rgb="FFFF0000"/>
              <x14:axisColor rgb="FF000000"/>
            </x14:dataBar>
          </x14:cfRule>
          <xm:sqref>C4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tabColor theme="0"/>
  </sheetPr>
  <dimension ref="A2:M18"/>
  <sheetViews>
    <sheetView zoomScale="120" zoomScaleNormal="120" workbookViewId="0">
      <pane xSplit="1" topLeftCell="B1" activePane="topRight" state="frozen"/>
      <selection pane="topRight" activeCell="A3" sqref="A3"/>
    </sheetView>
  </sheetViews>
  <sheetFormatPr defaultRowHeight="15" x14ac:dyDescent="0.3"/>
  <cols>
    <col min="1" max="1" width="17.85546875" style="2" customWidth="1"/>
    <col min="2" max="13" width="15" style="2" customWidth="1"/>
    <col min="14" max="14" width="5.7109375" style="2" customWidth="1"/>
    <col min="15" max="15" width="4.28515625" style="2" customWidth="1"/>
    <col min="16" max="16384" width="9.140625" style="2"/>
  </cols>
  <sheetData>
    <row r="2" spans="1:13" ht="17.850000000000001" customHeight="1" x14ac:dyDescent="0.3">
      <c r="B2" s="28" t="str" cm="1">
        <f t="array" ref="B2:M2">TRANSPOSE(Months)</f>
        <v>January</v>
      </c>
      <c r="C2" s="28" t="str">
        <v>February</v>
      </c>
      <c r="D2" s="28" t="str">
        <v>March</v>
      </c>
      <c r="E2" s="28" t="str">
        <v>April</v>
      </c>
      <c r="F2" s="28" t="str">
        <v>May</v>
      </c>
      <c r="G2" s="28" t="str">
        <v>June</v>
      </c>
      <c r="H2" s="28" t="str">
        <v>July</v>
      </c>
      <c r="I2" s="28" t="str">
        <v>August</v>
      </c>
      <c r="J2" s="28" t="str">
        <v>September</v>
      </c>
      <c r="K2" s="28" t="str">
        <v>October</v>
      </c>
      <c r="L2" s="28" t="str">
        <v>November</v>
      </c>
      <c r="M2" s="28" t="str">
        <v>December</v>
      </c>
    </row>
    <row r="3" spans="1:13" ht="18" customHeight="1" x14ac:dyDescent="0.3">
      <c r="A3" s="30" t="str" cm="1">
        <f t="array" ref="A3:A14">Net_Salary</f>
        <v>Salary</v>
      </c>
      <c r="B3" s="76">
        <f>SUMIFS(Tabela1[Amount],Tabela1[Month],B$2,Tabela1[Category],$A3)</f>
        <v>0</v>
      </c>
      <c r="C3" s="76">
        <f>SUMIFS(Tabela1[Amount],Tabela1[Month],C$2,Tabela1[Category],$A3)</f>
        <v>0</v>
      </c>
      <c r="D3" s="76">
        <f>SUMIFS(Tabela1[Amount],Tabela1[Month],D$2,Tabela1[Category],$A3)</f>
        <v>0</v>
      </c>
      <c r="E3" s="76">
        <f>SUMIFS(Tabela1[Amount],Tabela1[Month],E$2,Tabela1[Category],$A3)</f>
        <v>0</v>
      </c>
      <c r="F3" s="76">
        <f>SUMIFS(Tabela1[Amount],Tabela1[Month],F$2,Tabela1[Category],$A3)</f>
        <v>0</v>
      </c>
      <c r="G3" s="76">
        <f>SUMIFS(Tabela1[Amount],Tabela1[Month],G$2,Tabela1[Category],$A3)</f>
        <v>0</v>
      </c>
      <c r="H3" s="76">
        <f>SUMIFS(Tabela1[Amount],Tabela1[Month],H$2,Tabela1[Category],$A3)</f>
        <v>0</v>
      </c>
      <c r="I3" s="76">
        <f>SUMIFS(Tabela1[Amount],Tabela1[Month],I$2,Tabela1[Category],$A3)</f>
        <v>0</v>
      </c>
      <c r="J3" s="76">
        <f>SUMIFS(Tabela1[Amount],Tabela1[Month],J$2,Tabela1[Category],$A3)</f>
        <v>0</v>
      </c>
      <c r="K3" s="76">
        <f>SUMIFS(Tabela1[Amount],Tabela1[Month],K$2,Tabela1[Category],$A3)</f>
        <v>0</v>
      </c>
      <c r="L3" s="76">
        <f>SUMIFS(Tabela1[Amount],Tabela1[Month],L$2,Tabela1[Category],$A3)</f>
        <v>0</v>
      </c>
      <c r="M3" s="76">
        <f>SUMIFS(Tabela1[Amount],Tabela1[Month],M$2,Tabela1[Category],$A3)</f>
        <v>0</v>
      </c>
    </row>
    <row r="4" spans="1:13" ht="18" customHeight="1" x14ac:dyDescent="0.3">
      <c r="A4" s="30" t="str">
        <v>Seals</v>
      </c>
      <c r="B4" s="76">
        <f>SUMIFS(Tabela1[Amount],Tabela1[Month],B$2,Tabela1[Category],$A4)</f>
        <v>0</v>
      </c>
      <c r="C4" s="76">
        <f>SUMIFS(Tabela1[Amount],Tabela1[Month],C$2,Tabela1[Category],$A4)</f>
        <v>0</v>
      </c>
      <c r="D4" s="76">
        <f>SUMIFS(Tabela1[Amount],Tabela1[Month],D$2,Tabela1[Category],$A4)</f>
        <v>0</v>
      </c>
      <c r="E4" s="76">
        <f>SUMIFS(Tabela1[Amount],Tabela1[Month],E$2,Tabela1[Category],$A4)</f>
        <v>0</v>
      </c>
      <c r="F4" s="76">
        <f>SUMIFS(Tabela1[Amount],Tabela1[Month],F$2,Tabela1[Category],$A4)</f>
        <v>0</v>
      </c>
      <c r="G4" s="76">
        <f>SUMIFS(Tabela1[Amount],Tabela1[Month],G$2,Tabela1[Category],$A4)</f>
        <v>0</v>
      </c>
      <c r="H4" s="76">
        <f>SUMIFS(Tabela1[Amount],Tabela1[Month],H$2,Tabela1[Category],$A4)</f>
        <v>0</v>
      </c>
      <c r="I4" s="76">
        <f>SUMIFS(Tabela1[Amount],Tabela1[Month],I$2,Tabela1[Category],$A4)</f>
        <v>0</v>
      </c>
      <c r="J4" s="76">
        <f>SUMIFS(Tabela1[Amount],Tabela1[Month],J$2,Tabela1[Category],$A4)</f>
        <v>0</v>
      </c>
      <c r="K4" s="76">
        <f>SUMIFS(Tabela1[Amount],Tabela1[Month],K$2,Tabela1[Category],$A4)</f>
        <v>0</v>
      </c>
      <c r="L4" s="76">
        <f>SUMIFS(Tabela1[Amount],Tabela1[Month],L$2,Tabela1[Category],$A4)</f>
        <v>0</v>
      </c>
      <c r="M4" s="76">
        <f>SUMIFS(Tabela1[Amount],Tabela1[Month],M$2,Tabela1[Category],$A4)</f>
        <v>0</v>
      </c>
    </row>
    <row r="5" spans="1:13" ht="18" customHeight="1" x14ac:dyDescent="0.3">
      <c r="A5" s="30" t="str">
        <v>Rent</v>
      </c>
      <c r="B5" s="76">
        <f>SUMIFS(Tabela1[Amount],Tabela1[Month],B$2,Tabela1[Category],$A5)</f>
        <v>0</v>
      </c>
      <c r="C5" s="76">
        <f>SUMIFS(Tabela1[Amount],Tabela1[Month],C$2,Tabela1[Category],$A5)</f>
        <v>0</v>
      </c>
      <c r="D5" s="76">
        <f>SUMIFS(Tabela1[Amount],Tabela1[Month],D$2,Tabela1[Category],$A5)</f>
        <v>0</v>
      </c>
      <c r="E5" s="76">
        <f>SUMIFS(Tabela1[Amount],Tabela1[Month],E$2,Tabela1[Category],$A5)</f>
        <v>0</v>
      </c>
      <c r="F5" s="76">
        <f>SUMIFS(Tabela1[Amount],Tabela1[Month],F$2,Tabela1[Category],$A5)</f>
        <v>0</v>
      </c>
      <c r="G5" s="76">
        <f>SUMIFS(Tabela1[Amount],Tabela1[Month],G$2,Tabela1[Category],$A5)</f>
        <v>0</v>
      </c>
      <c r="H5" s="76">
        <f>SUMIFS(Tabela1[Amount],Tabela1[Month],H$2,Tabela1[Category],$A5)</f>
        <v>0</v>
      </c>
      <c r="I5" s="76">
        <f>SUMIFS(Tabela1[Amount],Tabela1[Month],I$2,Tabela1[Category],$A5)</f>
        <v>0</v>
      </c>
      <c r="J5" s="76">
        <f>SUMIFS(Tabela1[Amount],Tabela1[Month],J$2,Tabela1[Category],$A5)</f>
        <v>0</v>
      </c>
      <c r="K5" s="76">
        <f>SUMIFS(Tabela1[Amount],Tabela1[Month],K$2,Tabela1[Category],$A5)</f>
        <v>0</v>
      </c>
      <c r="L5" s="76">
        <f>SUMIFS(Tabela1[Amount],Tabela1[Month],L$2,Tabela1[Category],$A5)</f>
        <v>0</v>
      </c>
      <c r="M5" s="76">
        <f>SUMIFS(Tabela1[Amount],Tabela1[Month],M$2,Tabela1[Category],$A5)</f>
        <v>0</v>
      </c>
    </row>
    <row r="6" spans="1:13" ht="18" customHeight="1" x14ac:dyDescent="0.3">
      <c r="A6" s="30" t="str">
        <v>Seals II</v>
      </c>
      <c r="B6" s="76">
        <f>SUMIFS(Tabela1[Amount],Tabela1[Month],B$2,Tabela1[Category],$A6)</f>
        <v>0</v>
      </c>
      <c r="C6" s="76">
        <f>SUMIFS(Tabela1[Amount],Tabela1[Month],C$2,Tabela1[Category],$A6)</f>
        <v>0</v>
      </c>
      <c r="D6" s="76">
        <f>SUMIFS(Tabela1[Amount],Tabela1[Month],D$2,Tabela1[Category],$A6)</f>
        <v>0</v>
      </c>
      <c r="E6" s="76">
        <f>SUMIFS(Tabela1[Amount],Tabela1[Month],E$2,Tabela1[Category],$A6)</f>
        <v>0</v>
      </c>
      <c r="F6" s="76">
        <f>SUMIFS(Tabela1[Amount],Tabela1[Month],F$2,Tabela1[Category],$A6)</f>
        <v>0</v>
      </c>
      <c r="G6" s="76">
        <f>SUMIFS(Tabela1[Amount],Tabela1[Month],G$2,Tabela1[Category],$A6)</f>
        <v>0</v>
      </c>
      <c r="H6" s="76">
        <f>SUMIFS(Tabela1[Amount],Tabela1[Month],H$2,Tabela1[Category],$A6)</f>
        <v>0</v>
      </c>
      <c r="I6" s="76">
        <f>SUMIFS(Tabela1[Amount],Tabela1[Month],I$2,Tabela1[Category],$A6)</f>
        <v>0</v>
      </c>
      <c r="J6" s="76">
        <f>SUMIFS(Tabela1[Amount],Tabela1[Month],J$2,Tabela1[Category],$A6)</f>
        <v>0</v>
      </c>
      <c r="K6" s="76">
        <f>SUMIFS(Tabela1[Amount],Tabela1[Month],K$2,Tabela1[Category],$A6)</f>
        <v>0</v>
      </c>
      <c r="L6" s="76">
        <f>SUMIFS(Tabela1[Amount],Tabela1[Month],L$2,Tabela1[Category],$A6)</f>
        <v>0</v>
      </c>
      <c r="M6" s="76">
        <f>SUMIFS(Tabela1[Amount],Tabela1[Month],M$2,Tabela1[Category],$A6)</f>
        <v>0</v>
      </c>
    </row>
    <row r="7" spans="1:13" ht="18" customHeight="1" x14ac:dyDescent="0.3">
      <c r="A7" s="30" t="str">
        <v>Other - Income</v>
      </c>
      <c r="B7" s="76">
        <f>SUMIFS(Tabela1[Amount],Tabela1[Month],B$2,Tabela1[Category],$A7)</f>
        <v>0</v>
      </c>
      <c r="C7" s="76">
        <f>SUMIFS(Tabela1[Amount],Tabela1[Month],C$2,Tabela1[Category],$A7)</f>
        <v>0</v>
      </c>
      <c r="D7" s="76">
        <f>SUMIFS(Tabela1[Amount],Tabela1[Month],D$2,Tabela1[Category],$A7)</f>
        <v>0</v>
      </c>
      <c r="E7" s="76">
        <f>SUMIFS(Tabela1[Amount],Tabela1[Month],E$2,Tabela1[Category],$A7)</f>
        <v>0</v>
      </c>
      <c r="F7" s="76">
        <f>SUMIFS(Tabela1[Amount],Tabela1[Month],F$2,Tabela1[Category],$A7)</f>
        <v>0</v>
      </c>
      <c r="G7" s="76">
        <f>SUMIFS(Tabela1[Amount],Tabela1[Month],G$2,Tabela1[Category],$A7)</f>
        <v>0</v>
      </c>
      <c r="H7" s="76">
        <f>SUMIFS(Tabela1[Amount],Tabela1[Month],H$2,Tabela1[Category],$A7)</f>
        <v>0</v>
      </c>
      <c r="I7" s="76">
        <f>SUMIFS(Tabela1[Amount],Tabela1[Month],I$2,Tabela1[Category],$A7)</f>
        <v>0</v>
      </c>
      <c r="J7" s="76">
        <f>SUMIFS(Tabela1[Amount],Tabela1[Month],J$2,Tabela1[Category],$A7)</f>
        <v>0</v>
      </c>
      <c r="K7" s="76">
        <f>SUMIFS(Tabela1[Amount],Tabela1[Month],K$2,Tabela1[Category],$A7)</f>
        <v>0</v>
      </c>
      <c r="L7" s="76">
        <f>SUMIFS(Tabela1[Amount],Tabela1[Month],L$2,Tabela1[Category],$A7)</f>
        <v>0</v>
      </c>
      <c r="M7" s="76">
        <f>SUMIFS(Tabela1[Amount],Tabela1[Month],M$2,Tabela1[Category],$A7)</f>
        <v>0</v>
      </c>
    </row>
    <row r="8" spans="1:13" ht="17.850000000000001" customHeight="1" x14ac:dyDescent="0.3">
      <c r="A8" s="30" t="str">
        <v>Tax I</v>
      </c>
      <c r="B8" s="76">
        <f>SUMIFS(Tabela1[Amount],Tabela1[Month],B$2,Tabela1[Category],$A8)</f>
        <v>0</v>
      </c>
      <c r="C8" s="76">
        <f>SUMIFS(Tabela1[Amount],Tabela1[Month],C$2,Tabela1[Category],$A8)</f>
        <v>0</v>
      </c>
      <c r="D8" s="76">
        <f>SUMIFS(Tabela1[Amount],Tabela1[Month],D$2,Tabela1[Category],$A8)</f>
        <v>0</v>
      </c>
      <c r="E8" s="76">
        <f>SUMIFS(Tabela1[Amount],Tabela1[Month],E$2,Tabela1[Category],$A8)</f>
        <v>0</v>
      </c>
      <c r="F8" s="76">
        <f>SUMIFS(Tabela1[Amount],Tabela1[Month],F$2,Tabela1[Category],$A8)</f>
        <v>0</v>
      </c>
      <c r="G8" s="76">
        <f>SUMIFS(Tabela1[Amount],Tabela1[Month],G$2,Tabela1[Category],$A8)</f>
        <v>0</v>
      </c>
      <c r="H8" s="76">
        <f>SUMIFS(Tabela1[Amount],Tabela1[Month],H$2,Tabela1[Category],$A8)</f>
        <v>0</v>
      </c>
      <c r="I8" s="76">
        <f>SUMIFS(Tabela1[Amount],Tabela1[Month],I$2,Tabela1[Category],$A8)</f>
        <v>0</v>
      </c>
      <c r="J8" s="76">
        <f>SUMIFS(Tabela1[Amount],Tabela1[Month],J$2,Tabela1[Category],$A8)</f>
        <v>0</v>
      </c>
      <c r="K8" s="76">
        <f>SUMIFS(Tabela1[Amount],Tabela1[Month],K$2,Tabela1[Category],$A8)</f>
        <v>0</v>
      </c>
      <c r="L8" s="76">
        <f>SUMIFS(Tabela1[Amount],Tabela1[Month],L$2,Tabela1[Category],$A8)</f>
        <v>0</v>
      </c>
      <c r="M8" s="76">
        <f>SUMIFS(Tabela1[Amount],Tabela1[Month],M$2,Tabela1[Category],$A8)</f>
        <v>0</v>
      </c>
    </row>
    <row r="9" spans="1:13" ht="18" customHeight="1" x14ac:dyDescent="0.3">
      <c r="A9" s="30" t="str">
        <v>Tax II</v>
      </c>
      <c r="B9" s="76">
        <f>SUMIFS(Tabela1[Amount],Tabela1[Month],B$2,Tabela1[Category],$A9)</f>
        <v>0</v>
      </c>
      <c r="C9" s="76">
        <f>SUMIFS(Tabela1[Amount],Tabela1[Month],C$2,Tabela1[Category],$A9)</f>
        <v>0</v>
      </c>
      <c r="D9" s="76">
        <f>SUMIFS(Tabela1[Amount],Tabela1[Month],D$2,Tabela1[Category],$A9)</f>
        <v>0</v>
      </c>
      <c r="E9" s="76">
        <f>SUMIFS(Tabela1[Amount],Tabela1[Month],E$2,Tabela1[Category],$A9)</f>
        <v>0</v>
      </c>
      <c r="F9" s="76">
        <f>SUMIFS(Tabela1[Amount],Tabela1[Month],F$2,Tabela1[Category],$A9)</f>
        <v>0</v>
      </c>
      <c r="G9" s="76">
        <f>SUMIFS(Tabela1[Amount],Tabela1[Month],G$2,Tabela1[Category],$A9)</f>
        <v>0</v>
      </c>
      <c r="H9" s="76">
        <f>SUMIFS(Tabela1[Amount],Tabela1[Month],H$2,Tabela1[Category],$A9)</f>
        <v>0</v>
      </c>
      <c r="I9" s="76">
        <f>SUMIFS(Tabela1[Amount],Tabela1[Month],I$2,Tabela1[Category],$A9)</f>
        <v>0</v>
      </c>
      <c r="J9" s="76">
        <f>SUMIFS(Tabela1[Amount],Tabela1[Month],J$2,Tabela1[Category],$A9)</f>
        <v>0</v>
      </c>
      <c r="K9" s="76">
        <f>SUMIFS(Tabela1[Amount],Tabela1[Month],K$2,Tabela1[Category],$A9)</f>
        <v>0</v>
      </c>
      <c r="L9" s="76">
        <f>SUMIFS(Tabela1[Amount],Tabela1[Month],L$2,Tabela1[Category],$A9)</f>
        <v>0</v>
      </c>
      <c r="M9" s="76">
        <f>SUMIFS(Tabela1[Amount],Tabela1[Month],M$2,Tabela1[Category],$A9)</f>
        <v>0</v>
      </c>
    </row>
    <row r="10" spans="1:13" ht="17.850000000000001" customHeight="1" x14ac:dyDescent="0.3">
      <c r="A10" s="30" t="str">
        <v>Bank Fee I</v>
      </c>
      <c r="B10" s="76">
        <f>SUMIFS(Tabela1[Amount],Tabela1[Month],B$2,Tabela1[Category],$A10)</f>
        <v>0</v>
      </c>
      <c r="C10" s="76">
        <f>SUMIFS(Tabela1[Amount],Tabela1[Month],C$2,Tabela1[Category],$A10)</f>
        <v>0</v>
      </c>
      <c r="D10" s="76">
        <f>SUMIFS(Tabela1[Amount],Tabela1[Month],D$2,Tabela1[Category],$A10)</f>
        <v>0</v>
      </c>
      <c r="E10" s="76">
        <f>SUMIFS(Tabela1[Amount],Tabela1[Month],E$2,Tabela1[Category],$A10)</f>
        <v>0</v>
      </c>
      <c r="F10" s="76">
        <f>SUMIFS(Tabela1[Amount],Tabela1[Month],F$2,Tabela1[Category],$A10)</f>
        <v>0</v>
      </c>
      <c r="G10" s="76">
        <f>SUMIFS(Tabela1[Amount],Tabela1[Month],G$2,Tabela1[Category],$A10)</f>
        <v>0</v>
      </c>
      <c r="H10" s="76">
        <f>SUMIFS(Tabela1[Amount],Tabela1[Month],H$2,Tabela1[Category],$A10)</f>
        <v>0</v>
      </c>
      <c r="I10" s="76">
        <f>SUMIFS(Tabela1[Amount],Tabela1[Month],I$2,Tabela1[Category],$A10)</f>
        <v>0</v>
      </c>
      <c r="J10" s="76">
        <f>SUMIFS(Tabela1[Amount],Tabela1[Month],J$2,Tabela1[Category],$A10)</f>
        <v>0</v>
      </c>
      <c r="K10" s="76">
        <f>SUMIFS(Tabela1[Amount],Tabela1[Month],K$2,Tabela1[Category],$A10)</f>
        <v>0</v>
      </c>
      <c r="L10" s="76">
        <f>SUMIFS(Tabela1[Amount],Tabela1[Month],L$2,Tabela1[Category],$A10)</f>
        <v>0</v>
      </c>
      <c r="M10" s="76">
        <f>SUMIFS(Tabela1[Amount],Tabela1[Month],M$2,Tabela1[Category],$A10)</f>
        <v>0</v>
      </c>
    </row>
    <row r="11" spans="1:13" ht="17.850000000000001" customHeight="1" x14ac:dyDescent="0.3">
      <c r="A11" s="30" t="str">
        <v>Bank Fee II</v>
      </c>
      <c r="B11" s="76">
        <f>SUMIFS(Tabela1[Amount],Tabela1[Month],B$2,Tabela1[Category],$A11)</f>
        <v>0</v>
      </c>
      <c r="C11" s="76">
        <f>SUMIFS(Tabela1[Amount],Tabela1[Month],C$2,Tabela1[Category],$A11)</f>
        <v>0</v>
      </c>
      <c r="D11" s="76">
        <f>SUMIFS(Tabela1[Amount],Tabela1[Month],D$2,Tabela1[Category],$A11)</f>
        <v>0</v>
      </c>
      <c r="E11" s="76">
        <f>SUMIFS(Tabela1[Amount],Tabela1[Month],E$2,Tabela1[Category],$A11)</f>
        <v>0</v>
      </c>
      <c r="F11" s="76">
        <f>SUMIFS(Tabela1[Amount],Tabela1[Month],F$2,Tabela1[Category],$A11)</f>
        <v>0</v>
      </c>
      <c r="G11" s="76">
        <f>SUMIFS(Tabela1[Amount],Tabela1[Month],G$2,Tabela1[Category],$A11)</f>
        <v>0</v>
      </c>
      <c r="H11" s="76">
        <f>SUMIFS(Tabela1[Amount],Tabela1[Month],H$2,Tabela1[Category],$A11)</f>
        <v>0</v>
      </c>
      <c r="I11" s="76">
        <f>SUMIFS(Tabela1[Amount],Tabela1[Month],I$2,Tabela1[Category],$A11)</f>
        <v>0</v>
      </c>
      <c r="J11" s="76">
        <f>SUMIFS(Tabela1[Amount],Tabela1[Month],J$2,Tabela1[Category],$A11)</f>
        <v>0</v>
      </c>
      <c r="K11" s="76">
        <f>SUMIFS(Tabela1[Amount],Tabela1[Month],K$2,Tabela1[Category],$A11)</f>
        <v>0</v>
      </c>
      <c r="L11" s="76">
        <f>SUMIFS(Tabela1[Amount],Tabela1[Month],L$2,Tabela1[Category],$A11)</f>
        <v>0</v>
      </c>
      <c r="M11" s="76">
        <f>SUMIFS(Tabela1[Amount],Tabela1[Month],M$2,Tabela1[Category],$A11)</f>
        <v>0</v>
      </c>
    </row>
    <row r="12" spans="1:13" ht="18" customHeight="1" x14ac:dyDescent="0.3">
      <c r="A12" s="30" t="str">
        <v>Other - Discount</v>
      </c>
      <c r="B12" s="76">
        <f>SUMIFS(Tabela1[Amount],Tabela1[Month],B$2,Tabela1[Category],$A12)</f>
        <v>0</v>
      </c>
      <c r="C12" s="76">
        <f>SUMIFS(Tabela1[Amount],Tabela1[Month],C$2,Tabela1[Category],$A12)</f>
        <v>0</v>
      </c>
      <c r="D12" s="76">
        <f>SUMIFS(Tabela1[Amount],Tabela1[Month],D$2,Tabela1[Category],$A12)</f>
        <v>0</v>
      </c>
      <c r="E12" s="76">
        <f>SUMIFS(Tabela1[Amount],Tabela1[Month],E$2,Tabela1[Category],$A12)</f>
        <v>0</v>
      </c>
      <c r="F12" s="76">
        <f>SUMIFS(Tabela1[Amount],Tabela1[Month],F$2,Tabela1[Category],$A12)</f>
        <v>0</v>
      </c>
      <c r="G12" s="76">
        <f>SUMIFS(Tabela1[Amount],Tabela1[Month],G$2,Tabela1[Category],$A12)</f>
        <v>0</v>
      </c>
      <c r="H12" s="76">
        <f>SUMIFS(Tabela1[Amount],Tabela1[Month],H$2,Tabela1[Category],$A12)</f>
        <v>0</v>
      </c>
      <c r="I12" s="76">
        <f>SUMIFS(Tabela1[Amount],Tabela1[Month],I$2,Tabela1[Category],$A12)</f>
        <v>0</v>
      </c>
      <c r="J12" s="76">
        <f>SUMIFS(Tabela1[Amount],Tabela1[Month],J$2,Tabela1[Category],$A12)</f>
        <v>0</v>
      </c>
      <c r="K12" s="76">
        <f>SUMIFS(Tabela1[Amount],Tabela1[Month],K$2,Tabela1[Category],$A12)</f>
        <v>0</v>
      </c>
      <c r="L12" s="76">
        <f>SUMIFS(Tabela1[Amount],Tabela1[Month],L$2,Tabela1[Category],$A12)</f>
        <v>0</v>
      </c>
      <c r="M12" s="76">
        <f>SUMIFS(Tabela1[Amount],Tabela1[Month],M$2,Tabela1[Category],$A12)</f>
        <v>0</v>
      </c>
    </row>
    <row r="13" spans="1:13" ht="18" customHeight="1" x14ac:dyDescent="0.3">
      <c r="A13" s="30" t="str">
        <v>Stock Market</v>
      </c>
      <c r="B13" s="76">
        <f>SUMIFS(Tabela1[Amount],Tabela1[Month],B$2,Tabela1[Category],$A13)</f>
        <v>0</v>
      </c>
      <c r="C13" s="76">
        <f>SUMIFS(Tabela1[Amount],Tabela1[Month],C$2,Tabela1[Category],$A13)</f>
        <v>0</v>
      </c>
      <c r="D13" s="76">
        <f>SUMIFS(Tabela1[Amount],Tabela1[Month],D$2,Tabela1[Category],$A13)</f>
        <v>0</v>
      </c>
      <c r="E13" s="76">
        <f>SUMIFS(Tabela1[Amount],Tabela1[Month],E$2,Tabela1[Category],$A13)</f>
        <v>0</v>
      </c>
      <c r="F13" s="76">
        <f>SUMIFS(Tabela1[Amount],Tabela1[Month],F$2,Tabela1[Category],$A13)</f>
        <v>0</v>
      </c>
      <c r="G13" s="76">
        <f>SUMIFS(Tabela1[Amount],Tabela1[Month],G$2,Tabela1[Category],$A13)</f>
        <v>0</v>
      </c>
      <c r="H13" s="76">
        <f>SUMIFS(Tabela1[Amount],Tabela1[Month],H$2,Tabela1[Category],$A13)</f>
        <v>0</v>
      </c>
      <c r="I13" s="76">
        <f>SUMIFS(Tabela1[Amount],Tabela1[Month],I$2,Tabela1[Category],$A13)</f>
        <v>0</v>
      </c>
      <c r="J13" s="76">
        <f>SUMIFS(Tabela1[Amount],Tabela1[Month],J$2,Tabela1[Category],$A13)</f>
        <v>0</v>
      </c>
      <c r="K13" s="76">
        <f>SUMIFS(Tabela1[Amount],Tabela1[Month],K$2,Tabela1[Category],$A13)</f>
        <v>0</v>
      </c>
      <c r="L13" s="76">
        <f>SUMIFS(Tabela1[Amount],Tabela1[Month],L$2,Tabela1[Category],$A13)</f>
        <v>0</v>
      </c>
      <c r="M13" s="76">
        <f>SUMIFS(Tabela1[Amount],Tabela1[Month],M$2,Tabela1[Category],$A13)</f>
        <v>0</v>
      </c>
    </row>
    <row r="14" spans="1:13" ht="18" customHeight="1" x14ac:dyDescent="0.3">
      <c r="A14" s="30" t="str">
        <v>Real Estate</v>
      </c>
      <c r="B14" s="76">
        <f>SUMIFS(Tabela1[Amount],Tabela1[Month],B$2,Tabela1[Category],$A14)</f>
        <v>0</v>
      </c>
      <c r="C14" s="76">
        <f>SUMIFS(Tabela1[Amount],Tabela1[Month],C$2,Tabela1[Category],$A14)</f>
        <v>0</v>
      </c>
      <c r="D14" s="76">
        <f>SUMIFS(Tabela1[Amount],Tabela1[Month],D$2,Tabela1[Category],$A14)</f>
        <v>0</v>
      </c>
      <c r="E14" s="76">
        <f>SUMIFS(Tabela1[Amount],Tabela1[Month],E$2,Tabela1[Category],$A14)</f>
        <v>0</v>
      </c>
      <c r="F14" s="76">
        <f>SUMIFS(Tabela1[Amount],Tabela1[Month],F$2,Tabela1[Category],$A14)</f>
        <v>0</v>
      </c>
      <c r="G14" s="76">
        <f>SUMIFS(Tabela1[Amount],Tabela1[Month],G$2,Tabela1[Category],$A14)</f>
        <v>0</v>
      </c>
      <c r="H14" s="76">
        <f>SUMIFS(Tabela1[Amount],Tabela1[Month],H$2,Tabela1[Category],$A14)</f>
        <v>0</v>
      </c>
      <c r="I14" s="76">
        <f>SUMIFS(Tabela1[Amount],Tabela1[Month],I$2,Tabela1[Category],$A14)</f>
        <v>0</v>
      </c>
      <c r="J14" s="76">
        <f>SUMIFS(Tabela1[Amount],Tabela1[Month],J$2,Tabela1[Category],$A14)</f>
        <v>0</v>
      </c>
      <c r="K14" s="76">
        <f>SUMIFS(Tabela1[Amount],Tabela1[Month],K$2,Tabela1[Category],$A14)</f>
        <v>0</v>
      </c>
      <c r="L14" s="76">
        <f>SUMIFS(Tabela1[Amount],Tabela1[Month],L$2,Tabela1[Category],$A14)</f>
        <v>0</v>
      </c>
      <c r="M14" s="76">
        <f>SUMIFS(Tabela1[Amount],Tabela1[Month],M$2,Tabela1[Category],$A14)</f>
        <v>0</v>
      </c>
    </row>
    <row r="16" spans="1:13" ht="17.850000000000001" customHeight="1" x14ac:dyDescent="0.3">
      <c r="A16" s="28" t="s">
        <v>0</v>
      </c>
      <c r="B16" s="36">
        <f>ROUND(SUM(B3:B7)-SUM(B8:B14),2)</f>
        <v>0</v>
      </c>
      <c r="C16" s="36">
        <f t="shared" ref="C16:M16" si="0">ROUND(SUM(C3:C7)-SUM(C8:C14),2)</f>
        <v>0</v>
      </c>
      <c r="D16" s="36">
        <f t="shared" si="0"/>
        <v>0</v>
      </c>
      <c r="E16" s="36">
        <f t="shared" si="0"/>
        <v>0</v>
      </c>
      <c r="F16" s="36">
        <f t="shared" si="0"/>
        <v>0</v>
      </c>
      <c r="G16" s="36">
        <f t="shared" si="0"/>
        <v>0</v>
      </c>
      <c r="H16" s="36">
        <f t="shared" si="0"/>
        <v>0</v>
      </c>
      <c r="I16" s="36">
        <f t="shared" si="0"/>
        <v>0</v>
      </c>
      <c r="J16" s="36">
        <f t="shared" si="0"/>
        <v>0</v>
      </c>
      <c r="K16" s="36">
        <f t="shared" si="0"/>
        <v>0</v>
      </c>
      <c r="L16" s="36">
        <f t="shared" si="0"/>
        <v>0</v>
      </c>
      <c r="M16" s="36">
        <f t="shared" si="0"/>
        <v>0</v>
      </c>
    </row>
    <row r="18" spans="1:13" ht="18.55" hidden="1" customHeight="1" x14ac:dyDescent="0.3">
      <c r="A18" s="30" t="str">
        <f>A10</f>
        <v>Bank Fee I</v>
      </c>
      <c r="B18" s="1">
        <f>ROUND(IF((SUM(B3:B7) - SUM(B8:B9,B11:B12)) &gt; 10, (SUM(B3:B7) - SUM(B8:B9,B11:B12))*0.1, )-B10,2)</f>
        <v>0</v>
      </c>
      <c r="C18" s="1">
        <f t="shared" ref="C18:L18" si="1">ROUND(IF((SUM(C3:C7) - SUM(C8:C9,C11:C12)) &gt; 10, (SUM(C3:C7) - SUM(C8:C9,C11:C12))*0.1, )-C10,2)</f>
        <v>0</v>
      </c>
      <c r="D18" s="1">
        <f t="shared" si="1"/>
        <v>0</v>
      </c>
      <c r="E18" s="1">
        <f t="shared" si="1"/>
        <v>0</v>
      </c>
      <c r="F18" s="1">
        <f t="shared" si="1"/>
        <v>0</v>
      </c>
      <c r="G18" s="1">
        <f t="shared" si="1"/>
        <v>0</v>
      </c>
      <c r="H18" s="1">
        <f t="shared" si="1"/>
        <v>0</v>
      </c>
      <c r="I18" s="1">
        <f t="shared" si="1"/>
        <v>0</v>
      </c>
      <c r="J18" s="1">
        <f t="shared" si="1"/>
        <v>0</v>
      </c>
      <c r="K18" s="1">
        <f t="shared" si="1"/>
        <v>0</v>
      </c>
      <c r="L18" s="1">
        <f t="shared" si="1"/>
        <v>0</v>
      </c>
      <c r="M18" s="1">
        <f>ROUND(IF((SUM(M3:M7) - SUM(M8:M9,M11:M12)) &gt; 10, (SUM(M3:M7) - SUM(M8:M9,M11:M12))*0.1, )-M10,2)</f>
        <v>0</v>
      </c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tabColor theme="0"/>
  </sheetPr>
  <dimension ref="A2:N20"/>
  <sheetViews>
    <sheetView zoomScale="120" zoomScaleNormal="120" workbookViewId="0">
      <pane xSplit="1" topLeftCell="B1" activePane="topRight" state="frozen"/>
      <selection activeCell="A4" sqref="A4"/>
      <selection pane="topRight" activeCell="A3" sqref="A3"/>
    </sheetView>
  </sheetViews>
  <sheetFormatPr defaultRowHeight="15" x14ac:dyDescent="0.3"/>
  <cols>
    <col min="1" max="1" width="17.140625" style="33" customWidth="1"/>
    <col min="2" max="4" width="17.7109375" style="33" customWidth="1"/>
    <col min="5" max="10" width="17.85546875" style="33" customWidth="1"/>
    <col min="11" max="13" width="17.7109375" style="33" customWidth="1"/>
    <col min="14" max="14" width="10.5703125" style="33" bestFit="1" customWidth="1"/>
    <col min="15" max="15" width="12.42578125" style="33" bestFit="1" customWidth="1"/>
    <col min="16" max="17" width="10.5703125" style="33" bestFit="1" customWidth="1"/>
    <col min="18" max="16384" width="9.140625" style="33"/>
  </cols>
  <sheetData>
    <row r="2" spans="1:13" s="31" customFormat="1" ht="17.850000000000001" customHeight="1" x14ac:dyDescent="0.3">
      <c r="A2" s="33"/>
      <c r="B2" s="28" t="str" cm="1">
        <f t="array" ref="B2:M2">TRANSPOSE(Months)</f>
        <v>January</v>
      </c>
      <c r="C2" s="28" t="str">
        <v>February</v>
      </c>
      <c r="D2" s="28" t="str">
        <v>March</v>
      </c>
      <c r="E2" s="28" t="str">
        <v>April</v>
      </c>
      <c r="F2" s="28" t="str">
        <v>May</v>
      </c>
      <c r="G2" s="28" t="str">
        <v>June</v>
      </c>
      <c r="H2" s="28" t="str">
        <v>July</v>
      </c>
      <c r="I2" s="28" t="str">
        <v>August</v>
      </c>
      <c r="J2" s="28" t="str">
        <v>September</v>
      </c>
      <c r="K2" s="28" t="str">
        <v>October</v>
      </c>
      <c r="L2" s="28" t="str">
        <v>November</v>
      </c>
      <c r="M2" s="28" t="str">
        <v>December</v>
      </c>
    </row>
    <row r="3" spans="1:13" s="32" customFormat="1" ht="15" customHeight="1" x14ac:dyDescent="0.3">
      <c r="A3" s="75" t="s">
        <v>32</v>
      </c>
      <c r="B3" s="76">
        <f>'Net Salary'!B16</f>
        <v>0</v>
      </c>
      <c r="C3" s="76">
        <f>'Net Salary'!C16</f>
        <v>0</v>
      </c>
      <c r="D3" s="76">
        <f>'Net Salary'!D16</f>
        <v>0</v>
      </c>
      <c r="E3" s="76">
        <f>'Net Salary'!E16</f>
        <v>0</v>
      </c>
      <c r="F3" s="76">
        <f>'Net Salary'!F16</f>
        <v>0</v>
      </c>
      <c r="G3" s="76">
        <f>'Net Salary'!G16</f>
        <v>0</v>
      </c>
      <c r="H3" s="76">
        <f>'Net Salary'!H16</f>
        <v>0</v>
      </c>
      <c r="I3" s="76">
        <f>'Net Salary'!I16</f>
        <v>0</v>
      </c>
      <c r="J3" s="76">
        <f>'Net Salary'!J16</f>
        <v>0</v>
      </c>
      <c r="K3" s="76">
        <f>'Net Salary'!K16</f>
        <v>0</v>
      </c>
      <c r="L3" s="76">
        <f>'Net Salary'!L16</f>
        <v>0</v>
      </c>
      <c r="M3" s="76">
        <f>'Net Salary'!M16</f>
        <v>0</v>
      </c>
    </row>
    <row r="4" spans="1:13" ht="15" customHeight="1" x14ac:dyDescent="0.3">
      <c r="A4" s="75" t="s">
        <v>22</v>
      </c>
      <c r="B4" s="77">
        <f>B3-(SUM(B7:B18))</f>
        <v>0</v>
      </c>
      <c r="C4" s="77">
        <f t="shared" ref="C4:L4" si="0">C3-(SUM(C7:C18))+B4</f>
        <v>0</v>
      </c>
      <c r="D4" s="77">
        <f t="shared" si="0"/>
        <v>0</v>
      </c>
      <c r="E4" s="77">
        <f t="shared" si="0"/>
        <v>0</v>
      </c>
      <c r="F4" s="77">
        <f t="shared" si="0"/>
        <v>0</v>
      </c>
      <c r="G4" s="77">
        <f t="shared" si="0"/>
        <v>0</v>
      </c>
      <c r="H4" s="77">
        <f t="shared" si="0"/>
        <v>0</v>
      </c>
      <c r="I4" s="77">
        <f t="shared" si="0"/>
        <v>0</v>
      </c>
      <c r="J4" s="77">
        <f t="shared" si="0"/>
        <v>0</v>
      </c>
      <c r="K4" s="77">
        <f t="shared" si="0"/>
        <v>0</v>
      </c>
      <c r="L4" s="77">
        <f t="shared" si="0"/>
        <v>0</v>
      </c>
      <c r="M4" s="77">
        <f>M3-SUM(M7:M18)+L4</f>
        <v>0</v>
      </c>
    </row>
    <row r="5" spans="1:13" ht="15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1:13" ht="15" customHeight="1" x14ac:dyDescent="0.3">
      <c r="A6" s="28" t="s">
        <v>31</v>
      </c>
      <c r="B6" s="28" t="s">
        <v>20</v>
      </c>
      <c r="C6" s="28" t="s">
        <v>20</v>
      </c>
      <c r="D6" s="28" t="s">
        <v>20</v>
      </c>
      <c r="E6" s="28" t="s">
        <v>20</v>
      </c>
      <c r="F6" s="28" t="s">
        <v>20</v>
      </c>
      <c r="G6" s="28" t="s">
        <v>20</v>
      </c>
      <c r="H6" s="28" t="s">
        <v>20</v>
      </c>
      <c r="I6" s="28" t="s">
        <v>20</v>
      </c>
      <c r="J6" s="28" t="s">
        <v>20</v>
      </c>
      <c r="K6" s="28" t="s">
        <v>20</v>
      </c>
      <c r="L6" s="28" t="s">
        <v>20</v>
      </c>
      <c r="M6" s="28" t="s">
        <v>20</v>
      </c>
    </row>
    <row r="7" spans="1:13" ht="15" customHeight="1" x14ac:dyDescent="0.3">
      <c r="A7" s="15" t="str" cm="1">
        <f t="array" ref="A7:A18">Expenses</f>
        <v>Bills</v>
      </c>
      <c r="B7" s="76">
        <f>SUMIFS(Tabela1[Amount],Tabela1[Month],Expenses!B$2,Tabela1[Category],Expenses!$A7)</f>
        <v>0</v>
      </c>
      <c r="C7" s="76">
        <f>SUMIFS(Tabela1[Amount],Tabela1[Month],Expenses!C$2,Tabela1[Category],Expenses!$A7)</f>
        <v>0</v>
      </c>
      <c r="D7" s="76">
        <f>SUMIFS(Tabela1[Amount],Tabela1[Month],Expenses!D$2,Tabela1[Category],Expenses!$A7)</f>
        <v>0</v>
      </c>
      <c r="E7" s="76">
        <f>SUMIFS(Tabela1[Amount],Tabela1[Month],Expenses!E$2,Tabela1[Category],Expenses!$A7)</f>
        <v>0</v>
      </c>
      <c r="F7" s="76">
        <f>SUMIFS(Tabela1[Amount],Tabela1[Month],Expenses!F$2,Tabela1[Category],Expenses!$A7)</f>
        <v>0</v>
      </c>
      <c r="G7" s="76">
        <f>SUMIFS(Tabela1[Amount],Tabela1[Month],Expenses!G$2,Tabela1[Category],Expenses!$A7)</f>
        <v>0</v>
      </c>
      <c r="H7" s="76">
        <f>SUMIFS(Tabela1[Amount],Tabela1[Month],Expenses!H$2,Tabela1[Category],Expenses!$A7)</f>
        <v>0</v>
      </c>
      <c r="I7" s="76">
        <f>SUMIFS(Tabela1[Amount],Tabela1[Month],Expenses!I$2,Tabela1[Category],Expenses!$A7)</f>
        <v>0</v>
      </c>
      <c r="J7" s="76">
        <f>SUMIFS(Tabela1[Amount],Tabela1[Month],Expenses!J$2,Tabela1[Category],Expenses!$A7)</f>
        <v>0</v>
      </c>
      <c r="K7" s="76">
        <f>SUMIFS(Tabela1[Amount],Tabela1[Month],Expenses!K$2,Tabela1[Category],Expenses!$A7)</f>
        <v>0</v>
      </c>
      <c r="L7" s="76">
        <f>SUMIFS(Tabela1[Amount],Tabela1[Month],Expenses!L$2,Tabela1[Category],Expenses!$A7)</f>
        <v>0</v>
      </c>
      <c r="M7" s="76">
        <f>SUMIFS(Tabela1[Amount],Tabela1[Month],Expenses!M$2,Tabela1[Category],Expenses!$A7)</f>
        <v>0</v>
      </c>
    </row>
    <row r="8" spans="1:13" ht="15" customHeight="1" x14ac:dyDescent="0.3">
      <c r="A8" s="15" t="str">
        <v xml:space="preserve">Car </v>
      </c>
      <c r="B8" s="76">
        <f>SUMIFS(Tabela1[Amount],Tabela1[Month],Expenses!B$2,Tabela1[Category],Expenses!$A8)</f>
        <v>0</v>
      </c>
      <c r="C8" s="76">
        <f>SUMIFS(Tabela1[Amount],Tabela1[Month],Expenses!C$2,Tabela1[Category],Expenses!$A8)</f>
        <v>0</v>
      </c>
      <c r="D8" s="76">
        <f>SUMIFS(Tabela1[Amount],Tabela1[Month],Expenses!D$2,Tabela1[Category],Expenses!$A8)</f>
        <v>0</v>
      </c>
      <c r="E8" s="76">
        <f>SUMIFS(Tabela1[Amount],Tabela1[Month],Expenses!E$2,Tabela1[Category],Expenses!$A8)</f>
        <v>0</v>
      </c>
      <c r="F8" s="76">
        <f>SUMIFS(Tabela1[Amount],Tabela1[Month],Expenses!F$2,Tabela1[Category],Expenses!$A8)</f>
        <v>0</v>
      </c>
      <c r="G8" s="76">
        <f>SUMIFS(Tabela1[Amount],Tabela1[Month],Expenses!G$2,Tabela1[Category],Expenses!$A8)</f>
        <v>0</v>
      </c>
      <c r="H8" s="76">
        <f>SUMIFS(Tabela1[Amount],Tabela1[Month],Expenses!H$2,Tabela1[Category],Expenses!$A8)</f>
        <v>0</v>
      </c>
      <c r="I8" s="76">
        <f>SUMIFS(Tabela1[Amount],Tabela1[Month],Expenses!I$2,Tabela1[Category],Expenses!$A8)</f>
        <v>0</v>
      </c>
      <c r="J8" s="76">
        <f>SUMIFS(Tabela1[Amount],Tabela1[Month],Expenses!J$2,Tabela1[Category],Expenses!$A8)</f>
        <v>0</v>
      </c>
      <c r="K8" s="76">
        <f>SUMIFS(Tabela1[Amount],Tabela1[Month],Expenses!K$2,Tabela1[Category],Expenses!$A8)</f>
        <v>0</v>
      </c>
      <c r="L8" s="76">
        <f>SUMIFS(Tabela1[Amount],Tabela1[Month],Expenses!L$2,Tabela1[Category],Expenses!$A8)</f>
        <v>0</v>
      </c>
      <c r="M8" s="76">
        <f>SUMIFS(Tabela1[Amount],Tabela1[Month],Expenses!M$2,Tabela1[Category],Expenses!$A8)</f>
        <v>0</v>
      </c>
    </row>
    <row r="9" spans="1:13" ht="15" customHeight="1" x14ac:dyDescent="0.3">
      <c r="A9" s="15" t="str">
        <v>Clothing</v>
      </c>
      <c r="B9" s="76">
        <f>SUMIFS(Tabela1[Amount],Tabela1[Month],Expenses!B$2,Tabela1[Category],Expenses!$A9)</f>
        <v>0</v>
      </c>
      <c r="C9" s="76">
        <f>SUMIFS(Tabela1[Amount],Tabela1[Month],Expenses!C$2,Tabela1[Category],Expenses!$A9)</f>
        <v>0</v>
      </c>
      <c r="D9" s="76">
        <f>SUMIFS(Tabela1[Amount],Tabela1[Month],Expenses!D$2,Tabela1[Category],Expenses!$A9)</f>
        <v>0</v>
      </c>
      <c r="E9" s="76">
        <f>SUMIFS(Tabela1[Amount],Tabela1[Month],Expenses!E$2,Tabela1[Category],Expenses!$A9)</f>
        <v>0</v>
      </c>
      <c r="F9" s="76">
        <f>SUMIFS(Tabela1[Amount],Tabela1[Month],Expenses!F$2,Tabela1[Category],Expenses!$A9)</f>
        <v>0</v>
      </c>
      <c r="G9" s="76">
        <f>SUMIFS(Tabela1[Amount],Tabela1[Month],Expenses!G$2,Tabela1[Category],Expenses!$A9)</f>
        <v>0</v>
      </c>
      <c r="H9" s="76">
        <f>SUMIFS(Tabela1[Amount],Tabela1[Month],Expenses!H$2,Tabela1[Category],Expenses!$A9)</f>
        <v>0</v>
      </c>
      <c r="I9" s="76">
        <f>SUMIFS(Tabela1[Amount],Tabela1[Month],Expenses!I$2,Tabela1[Category],Expenses!$A9)</f>
        <v>0</v>
      </c>
      <c r="J9" s="76">
        <f>SUMIFS(Tabela1[Amount],Tabela1[Month],Expenses!J$2,Tabela1[Category],Expenses!$A9)</f>
        <v>0</v>
      </c>
      <c r="K9" s="76">
        <f>SUMIFS(Tabela1[Amount],Tabela1[Month],Expenses!K$2,Tabela1[Category],Expenses!$A9)</f>
        <v>0</v>
      </c>
      <c r="L9" s="76">
        <f>SUMIFS(Tabela1[Amount],Tabela1[Month],Expenses!L$2,Tabela1[Category],Expenses!$A9)</f>
        <v>0</v>
      </c>
      <c r="M9" s="76">
        <f>SUMIFS(Tabela1[Amount],Tabela1[Month],Expenses!M$2,Tabela1[Category],Expenses!$A9)</f>
        <v>0</v>
      </c>
    </row>
    <row r="10" spans="1:13" ht="15" customHeight="1" x14ac:dyDescent="0.3">
      <c r="A10" s="15" t="str">
        <v>Eletron n' games</v>
      </c>
      <c r="B10" s="76">
        <f>SUMIFS(Tabela1[Amount],Tabela1[Month],Expenses!B$2,Tabela1[Category],Expenses!$A10)</f>
        <v>0</v>
      </c>
      <c r="C10" s="76">
        <f>SUMIFS(Tabela1[Amount],Tabela1[Month],Expenses!C$2,Tabela1[Category],Expenses!$A10)</f>
        <v>0</v>
      </c>
      <c r="D10" s="76">
        <f>SUMIFS(Tabela1[Amount],Tabela1[Month],Expenses!D$2,Tabela1[Category],Expenses!$A10)</f>
        <v>0</v>
      </c>
      <c r="E10" s="76">
        <f>SUMIFS(Tabela1[Amount],Tabela1[Month],Expenses!E$2,Tabela1[Category],Expenses!$A10)</f>
        <v>0</v>
      </c>
      <c r="F10" s="76">
        <f>SUMIFS(Tabela1[Amount],Tabela1[Month],Expenses!F$2,Tabela1[Category],Expenses!$A10)</f>
        <v>0</v>
      </c>
      <c r="G10" s="76">
        <f>SUMIFS(Tabela1[Amount],Tabela1[Month],Expenses!G$2,Tabela1[Category],Expenses!$A10)</f>
        <v>0</v>
      </c>
      <c r="H10" s="76">
        <f>SUMIFS(Tabela1[Amount],Tabela1[Month],Expenses!H$2,Tabela1[Category],Expenses!$A10)</f>
        <v>0</v>
      </c>
      <c r="I10" s="76">
        <f>SUMIFS(Tabela1[Amount],Tabela1[Month],Expenses!I$2,Tabela1[Category],Expenses!$A10)</f>
        <v>0</v>
      </c>
      <c r="J10" s="76">
        <f>SUMIFS(Tabela1[Amount],Tabela1[Month],Expenses!J$2,Tabela1[Category],Expenses!$A10)</f>
        <v>0</v>
      </c>
      <c r="K10" s="76">
        <f>SUMIFS(Tabela1[Amount],Tabela1[Month],Expenses!K$2,Tabela1[Category],Expenses!$A10)</f>
        <v>0</v>
      </c>
      <c r="L10" s="76">
        <f>SUMIFS(Tabela1[Amount],Tabela1[Month],Expenses!L$2,Tabela1[Category],Expenses!$A10)</f>
        <v>0</v>
      </c>
      <c r="M10" s="76">
        <f>SUMIFS(Tabela1[Amount],Tabela1[Month],Expenses!M$2,Tabela1[Category],Expenses!$A10)</f>
        <v>0</v>
      </c>
    </row>
    <row r="11" spans="1:13" ht="15" customHeight="1" x14ac:dyDescent="0.3">
      <c r="A11" s="15" t="str">
        <v>Food</v>
      </c>
      <c r="B11" s="76">
        <f>SUMIFS(Tabela1[Amount],Tabela1[Month],Expenses!B$2,Tabela1[Category],Expenses!$A11)</f>
        <v>0</v>
      </c>
      <c r="C11" s="76">
        <f>SUMIFS(Tabela1[Amount],Tabela1[Month],Expenses!C$2,Tabela1[Category],Expenses!$A11)</f>
        <v>0</v>
      </c>
      <c r="D11" s="76">
        <f>SUMIFS(Tabela1[Amount],Tabela1[Month],Expenses!D$2,Tabela1[Category],Expenses!$A11)</f>
        <v>0</v>
      </c>
      <c r="E11" s="76">
        <f>SUMIFS(Tabela1[Amount],Tabela1[Month],Expenses!E$2,Tabela1[Category],Expenses!$A11)</f>
        <v>0</v>
      </c>
      <c r="F11" s="76">
        <f>SUMIFS(Tabela1[Amount],Tabela1[Month],Expenses!F$2,Tabela1[Category],Expenses!$A11)</f>
        <v>0</v>
      </c>
      <c r="G11" s="76">
        <f>SUMIFS(Tabela1[Amount],Tabela1[Month],Expenses!G$2,Tabela1[Category],Expenses!$A11)</f>
        <v>0</v>
      </c>
      <c r="H11" s="76">
        <f>SUMIFS(Tabela1[Amount],Tabela1[Month],Expenses!H$2,Tabela1[Category],Expenses!$A11)</f>
        <v>0</v>
      </c>
      <c r="I11" s="76">
        <f>SUMIFS(Tabela1[Amount],Tabela1[Month],Expenses!I$2,Tabela1[Category],Expenses!$A11)</f>
        <v>0</v>
      </c>
      <c r="J11" s="76">
        <f>SUMIFS(Tabela1[Amount],Tabela1[Month],Expenses!J$2,Tabela1[Category],Expenses!$A11)</f>
        <v>0</v>
      </c>
      <c r="K11" s="76">
        <f>SUMIFS(Tabela1[Amount],Tabela1[Month],Expenses!K$2,Tabela1[Category],Expenses!$A11)</f>
        <v>0</v>
      </c>
      <c r="L11" s="76">
        <f>SUMIFS(Tabela1[Amount],Tabela1[Month],Expenses!L$2,Tabela1[Category],Expenses!$A11)</f>
        <v>0</v>
      </c>
      <c r="M11" s="76">
        <f>SUMIFS(Tabela1[Amount],Tabela1[Month],Expenses!M$2,Tabela1[Category],Expenses!$A11)</f>
        <v>0</v>
      </c>
    </row>
    <row r="12" spans="1:13" ht="15" customHeight="1" x14ac:dyDescent="0.3">
      <c r="A12" s="15" t="str">
        <v>Gasolina</v>
      </c>
      <c r="B12" s="76">
        <f>SUMIFS(Tabela1[Amount],Tabela1[Month],Expenses!B$2,Tabela1[Category],Expenses!$A12)</f>
        <v>0</v>
      </c>
      <c r="C12" s="76">
        <f>SUMIFS(Tabela1[Amount],Tabela1[Month],Expenses!C$2,Tabela1[Category],Expenses!$A12)</f>
        <v>0</v>
      </c>
      <c r="D12" s="76">
        <f>SUMIFS(Tabela1[Amount],Tabela1[Month],Expenses!D$2,Tabela1[Category],Expenses!$A12)</f>
        <v>0</v>
      </c>
      <c r="E12" s="76">
        <f>SUMIFS(Tabela1[Amount],Tabela1[Month],Expenses!E$2,Tabela1[Category],Expenses!$A12)</f>
        <v>0</v>
      </c>
      <c r="F12" s="76">
        <f>SUMIFS(Tabela1[Amount],Tabela1[Month],Expenses!F$2,Tabela1[Category],Expenses!$A12)</f>
        <v>0</v>
      </c>
      <c r="G12" s="76">
        <f>SUMIFS(Tabela1[Amount],Tabela1[Month],Expenses!G$2,Tabela1[Category],Expenses!$A12)</f>
        <v>0</v>
      </c>
      <c r="H12" s="76">
        <f>SUMIFS(Tabela1[Amount],Tabela1[Month],Expenses!H$2,Tabela1[Category],Expenses!$A12)</f>
        <v>0</v>
      </c>
      <c r="I12" s="76">
        <f>SUMIFS(Tabela1[Amount],Tabela1[Month],Expenses!I$2,Tabela1[Category],Expenses!$A12)</f>
        <v>0</v>
      </c>
      <c r="J12" s="76">
        <f>SUMIFS(Tabela1[Amount],Tabela1[Month],Expenses!J$2,Tabela1[Category],Expenses!$A12)</f>
        <v>0</v>
      </c>
      <c r="K12" s="76">
        <f>SUMIFS(Tabela1[Amount],Tabela1[Month],Expenses!K$2,Tabela1[Category],Expenses!$A12)</f>
        <v>0</v>
      </c>
      <c r="L12" s="76">
        <f>SUMIFS(Tabela1[Amount],Tabela1[Month],Expenses!L$2,Tabela1[Category],Expenses!$A12)</f>
        <v>0</v>
      </c>
      <c r="M12" s="76">
        <f>SUMIFS(Tabela1[Amount],Tabela1[Month],Expenses!M$2,Tabela1[Category],Expenses!$A12)</f>
        <v>0</v>
      </c>
    </row>
    <row r="13" spans="1:13" ht="15" customHeight="1" x14ac:dyDescent="0.3">
      <c r="A13" s="15" t="str">
        <v>Hang out</v>
      </c>
      <c r="B13" s="76">
        <f>SUMIFS(Tabela1[Amount],Tabela1[Month],Expenses!B$2,Tabela1[Category],Expenses!$A13)</f>
        <v>0</v>
      </c>
      <c r="C13" s="76">
        <f>SUMIFS(Tabela1[Amount],Tabela1[Month],Expenses!C$2,Tabela1[Category],Expenses!$A13)</f>
        <v>0</v>
      </c>
      <c r="D13" s="76">
        <f>SUMIFS(Tabela1[Amount],Tabela1[Month],Expenses!D$2,Tabela1[Category],Expenses!$A13)</f>
        <v>0</v>
      </c>
      <c r="E13" s="76">
        <f>SUMIFS(Tabela1[Amount],Tabela1[Month],Expenses!E$2,Tabela1[Category],Expenses!$A13)</f>
        <v>0</v>
      </c>
      <c r="F13" s="76">
        <f>SUMIFS(Tabela1[Amount],Tabela1[Month],Expenses!F$2,Tabela1[Category],Expenses!$A13)</f>
        <v>0</v>
      </c>
      <c r="G13" s="76">
        <f>SUMIFS(Tabela1[Amount],Tabela1[Month],Expenses!G$2,Tabela1[Category],Expenses!$A13)</f>
        <v>0</v>
      </c>
      <c r="H13" s="76">
        <f>SUMIFS(Tabela1[Amount],Tabela1[Month],Expenses!H$2,Tabela1[Category],Expenses!$A13)</f>
        <v>0</v>
      </c>
      <c r="I13" s="76">
        <f>SUMIFS(Tabela1[Amount],Tabela1[Month],Expenses!I$2,Tabela1[Category],Expenses!$A13)</f>
        <v>0</v>
      </c>
      <c r="J13" s="76">
        <f>SUMIFS(Tabela1[Amount],Tabela1[Month],Expenses!J$2,Tabela1[Category],Expenses!$A13)</f>
        <v>0</v>
      </c>
      <c r="K13" s="76">
        <f>SUMIFS(Tabela1[Amount],Tabela1[Month],Expenses!K$2,Tabela1[Category],Expenses!$A13)</f>
        <v>0</v>
      </c>
      <c r="L13" s="76">
        <f>SUMIFS(Tabela1[Amount],Tabela1[Month],Expenses!L$2,Tabela1[Category],Expenses!$A13)</f>
        <v>0</v>
      </c>
      <c r="M13" s="76">
        <f>SUMIFS(Tabela1[Amount],Tabela1[Month],Expenses!M$2,Tabela1[Category],Expenses!$A13)</f>
        <v>0</v>
      </c>
    </row>
    <row r="14" spans="1:13" ht="15" customHeight="1" x14ac:dyDescent="0.3">
      <c r="A14" s="51" t="str">
        <v>Healthcare</v>
      </c>
      <c r="B14" s="76">
        <f>SUMIFS(Tabela1[Amount],Tabela1[Month],Expenses!B$2,Tabela1[Category],Expenses!$A14)</f>
        <v>0</v>
      </c>
      <c r="C14" s="76">
        <f>SUMIFS(Tabela1[Amount],Tabela1[Month],Expenses!C$2,Tabela1[Category],Expenses!$A14)</f>
        <v>0</v>
      </c>
      <c r="D14" s="76">
        <f>SUMIFS(Tabela1[Amount],Tabela1[Month],Expenses!D$2,Tabela1[Category],Expenses!$A14)</f>
        <v>0</v>
      </c>
      <c r="E14" s="76">
        <f>SUMIFS(Tabela1[Amount],Tabela1[Month],Expenses!E$2,Tabela1[Category],Expenses!$A14)</f>
        <v>0</v>
      </c>
      <c r="F14" s="76">
        <f>SUMIFS(Tabela1[Amount],Tabela1[Month],Expenses!F$2,Tabela1[Category],Expenses!$A14)</f>
        <v>0</v>
      </c>
      <c r="G14" s="76">
        <f>SUMIFS(Tabela1[Amount],Tabela1[Month],Expenses!G$2,Tabela1[Category],Expenses!$A14)</f>
        <v>0</v>
      </c>
      <c r="H14" s="76">
        <f>SUMIFS(Tabela1[Amount],Tabela1[Month],Expenses!H$2,Tabela1[Category],Expenses!$A14)</f>
        <v>0</v>
      </c>
      <c r="I14" s="76">
        <f>SUMIFS(Tabela1[Amount],Tabela1[Month],Expenses!I$2,Tabela1[Category],Expenses!$A14)</f>
        <v>0</v>
      </c>
      <c r="J14" s="76">
        <f>SUMIFS(Tabela1[Amount],Tabela1[Month],Expenses!J$2,Tabela1[Category],Expenses!$A14)</f>
        <v>0</v>
      </c>
      <c r="K14" s="76">
        <f>SUMIFS(Tabela1[Amount],Tabela1[Month],Expenses!K$2,Tabela1[Category],Expenses!$A14)</f>
        <v>0</v>
      </c>
      <c r="L14" s="76">
        <f>SUMIFS(Tabela1[Amount],Tabela1[Month],Expenses!L$2,Tabela1[Category],Expenses!$A14)</f>
        <v>0</v>
      </c>
      <c r="M14" s="76">
        <f>SUMIFS(Tabela1[Amount],Tabela1[Month],Expenses!M$2,Tabela1[Category],Expenses!$A14)</f>
        <v>0</v>
      </c>
    </row>
    <row r="15" spans="1:13" ht="15" customHeight="1" x14ac:dyDescent="0.3">
      <c r="A15" s="15" t="str">
        <v>Insurance</v>
      </c>
      <c r="B15" s="76">
        <f>SUMIFS(Tabela1[Amount],Tabela1[Month],Expenses!B$2,Tabela1[Category],Expenses!$A15)</f>
        <v>0</v>
      </c>
      <c r="C15" s="76">
        <f>SUMIFS(Tabela1[Amount],Tabela1[Month],Expenses!C$2,Tabela1[Category],Expenses!$A15)</f>
        <v>0</v>
      </c>
      <c r="D15" s="76">
        <f>SUMIFS(Tabela1[Amount],Tabela1[Month],Expenses!D$2,Tabela1[Category],Expenses!$A15)</f>
        <v>0</v>
      </c>
      <c r="E15" s="76">
        <f>SUMIFS(Tabela1[Amount],Tabela1[Month],Expenses!E$2,Tabela1[Category],Expenses!$A15)</f>
        <v>0</v>
      </c>
      <c r="F15" s="76">
        <f>SUMIFS(Tabela1[Amount],Tabela1[Month],Expenses!F$2,Tabela1[Category],Expenses!$A15)</f>
        <v>0</v>
      </c>
      <c r="G15" s="76">
        <f>SUMIFS(Tabela1[Amount],Tabela1[Month],Expenses!G$2,Tabela1[Category],Expenses!$A15)</f>
        <v>0</v>
      </c>
      <c r="H15" s="76">
        <f>SUMIFS(Tabela1[Amount],Tabela1[Month],Expenses!H$2,Tabela1[Category],Expenses!$A15)</f>
        <v>0</v>
      </c>
      <c r="I15" s="76">
        <f>SUMIFS(Tabela1[Amount],Tabela1[Month],Expenses!I$2,Tabela1[Category],Expenses!$A15)</f>
        <v>0</v>
      </c>
      <c r="J15" s="76">
        <f>SUMIFS(Tabela1[Amount],Tabela1[Month],Expenses!J$2,Tabela1[Category],Expenses!$A15)</f>
        <v>0</v>
      </c>
      <c r="K15" s="76">
        <f>SUMIFS(Tabela1[Amount],Tabela1[Month],Expenses!K$2,Tabela1[Category],Expenses!$A15)</f>
        <v>0</v>
      </c>
      <c r="L15" s="76">
        <f>SUMIFS(Tabela1[Amount],Tabela1[Month],Expenses!L$2,Tabela1[Category],Expenses!$A15)</f>
        <v>0</v>
      </c>
      <c r="M15" s="76">
        <f>SUMIFS(Tabela1[Amount],Tabela1[Month],Expenses!M$2,Tabela1[Category],Expenses!$A15)</f>
        <v>0</v>
      </c>
    </row>
    <row r="16" spans="1:13" ht="15" customHeight="1" x14ac:dyDescent="0.3">
      <c r="A16" s="15" t="str">
        <v>Personal Care</v>
      </c>
      <c r="B16" s="76">
        <f>SUMIFS(Tabela1[Amount],Tabela1[Month],Expenses!B$2,Tabela1[Category],Expenses!$A16)</f>
        <v>0</v>
      </c>
      <c r="C16" s="76">
        <f>SUMIFS(Tabela1[Amount],Tabela1[Month],Expenses!C$2,Tabela1[Category],Expenses!$A16)</f>
        <v>0</v>
      </c>
      <c r="D16" s="76">
        <f>SUMIFS(Tabela1[Amount],Tabela1[Month],Expenses!D$2,Tabela1[Category],Expenses!$A16)</f>
        <v>0</v>
      </c>
      <c r="E16" s="76">
        <f>SUMIFS(Tabela1[Amount],Tabela1[Month],Expenses!E$2,Tabela1[Category],Expenses!$A16)</f>
        <v>0</v>
      </c>
      <c r="F16" s="76">
        <f>SUMIFS(Tabela1[Amount],Tabela1[Month],Expenses!F$2,Tabela1[Category],Expenses!$A16)</f>
        <v>0</v>
      </c>
      <c r="G16" s="76">
        <f>SUMIFS(Tabela1[Amount],Tabela1[Month],Expenses!G$2,Tabela1[Category],Expenses!$A16)</f>
        <v>0</v>
      </c>
      <c r="H16" s="76">
        <f>SUMIFS(Tabela1[Amount],Tabela1[Month],Expenses!H$2,Tabela1[Category],Expenses!$A16)</f>
        <v>0</v>
      </c>
      <c r="I16" s="76">
        <f>SUMIFS(Tabela1[Amount],Tabela1[Month],Expenses!I$2,Tabela1[Category],Expenses!$A16)</f>
        <v>0</v>
      </c>
      <c r="J16" s="76">
        <f>SUMIFS(Tabela1[Amount],Tabela1[Month],Expenses!J$2,Tabela1[Category],Expenses!$A16)</f>
        <v>0</v>
      </c>
      <c r="K16" s="76">
        <f>SUMIFS(Tabela1[Amount],Tabela1[Month],Expenses!K$2,Tabela1[Category],Expenses!$A16)</f>
        <v>0</v>
      </c>
      <c r="L16" s="76">
        <f>SUMIFS(Tabela1[Amount],Tabela1[Month],Expenses!L$2,Tabela1[Category],Expenses!$A16)</f>
        <v>0</v>
      </c>
      <c r="M16" s="76">
        <f>SUMIFS(Tabela1[Amount],Tabela1[Month],Expenses!M$2,Tabela1[Category],Expenses!$A16)</f>
        <v>0</v>
      </c>
    </row>
    <row r="17" spans="1:14" ht="15" customHeight="1" x14ac:dyDescent="0.3">
      <c r="A17" s="15" t="str">
        <v>Travel</v>
      </c>
      <c r="B17" s="76">
        <f>SUMIFS(Tabela1[Amount],Tabela1[Month],Expenses!B$2,Tabela1[Category],Expenses!$A17)</f>
        <v>0</v>
      </c>
      <c r="C17" s="76">
        <f>SUMIFS(Tabela1[Amount],Tabela1[Month],Expenses!C$2,Tabela1[Category],Expenses!$A17)</f>
        <v>0</v>
      </c>
      <c r="D17" s="76">
        <f>SUMIFS(Tabela1[Amount],Tabela1[Month],Expenses!D$2,Tabela1[Category],Expenses!$A17)</f>
        <v>0</v>
      </c>
      <c r="E17" s="76">
        <f>SUMIFS(Tabela1[Amount],Tabela1[Month],Expenses!E$2,Tabela1[Category],Expenses!$A17)</f>
        <v>0</v>
      </c>
      <c r="F17" s="76">
        <f>SUMIFS(Tabela1[Amount],Tabela1[Month],Expenses!F$2,Tabela1[Category],Expenses!$A17)</f>
        <v>0</v>
      </c>
      <c r="G17" s="76">
        <f>SUMIFS(Tabela1[Amount],Tabela1[Month],Expenses!G$2,Tabela1[Category],Expenses!$A17)</f>
        <v>0</v>
      </c>
      <c r="H17" s="76">
        <f>SUMIFS(Tabela1[Amount],Tabela1[Month],Expenses!H$2,Tabela1[Category],Expenses!$A17)</f>
        <v>0</v>
      </c>
      <c r="I17" s="76">
        <f>SUMIFS(Tabela1[Amount],Tabela1[Month],Expenses!I$2,Tabela1[Category],Expenses!$A17)</f>
        <v>0</v>
      </c>
      <c r="J17" s="76">
        <f>SUMIFS(Tabela1[Amount],Tabela1[Month],Expenses!J$2,Tabela1[Category],Expenses!$A17)</f>
        <v>0</v>
      </c>
      <c r="K17" s="76">
        <f>SUMIFS(Tabela1[Amount],Tabela1[Month],Expenses!K$2,Tabela1[Category],Expenses!$A17)</f>
        <v>0</v>
      </c>
      <c r="L17" s="76">
        <f>SUMIFS(Tabela1[Amount],Tabela1[Month],Expenses!L$2,Tabela1[Category],Expenses!$A17)</f>
        <v>0</v>
      </c>
      <c r="M17" s="76">
        <f>SUMIFS(Tabela1[Amount],Tabela1[Month],Expenses!M$2,Tabela1[Category],Expenses!$A17)</f>
        <v>0</v>
      </c>
    </row>
    <row r="18" spans="1:14" ht="15" customHeight="1" x14ac:dyDescent="0.3">
      <c r="A18" s="15" t="str">
        <v>General expen.</v>
      </c>
      <c r="B18" s="76">
        <f>SUMIFS(Tabela1[Amount],Tabela1[Month],Expenses!B$2,Tabela1[Category],Expenses!$A18)</f>
        <v>0</v>
      </c>
      <c r="C18" s="76">
        <f>SUMIFS(Tabela1[Amount],Tabela1[Month],Expenses!C$2,Tabela1[Category],Expenses!$A18)</f>
        <v>0</v>
      </c>
      <c r="D18" s="76">
        <f>SUMIFS(Tabela1[Amount],Tabela1[Month],Expenses!D$2,Tabela1[Category],Expenses!$A18)</f>
        <v>0</v>
      </c>
      <c r="E18" s="76">
        <f>SUMIFS(Tabela1[Amount],Tabela1[Month],Expenses!E$2,Tabela1[Category],Expenses!$A18)</f>
        <v>0</v>
      </c>
      <c r="F18" s="76">
        <f>SUMIFS(Tabela1[Amount],Tabela1[Month],Expenses!F$2,Tabela1[Category],Expenses!$A18)</f>
        <v>0</v>
      </c>
      <c r="G18" s="76">
        <f>SUMIFS(Tabela1[Amount],Tabela1[Month],Expenses!G$2,Tabela1[Category],Expenses!$A18)</f>
        <v>0</v>
      </c>
      <c r="H18" s="76">
        <f>SUMIFS(Tabela1[Amount],Tabela1[Month],Expenses!H$2,Tabela1[Category],Expenses!$A18)</f>
        <v>0</v>
      </c>
      <c r="I18" s="76">
        <f>SUMIFS(Tabela1[Amount],Tabela1[Month],Expenses!I$2,Tabela1[Category],Expenses!$A18)</f>
        <v>0</v>
      </c>
      <c r="J18" s="76">
        <f>SUMIFS(Tabela1[Amount],Tabela1[Month],Expenses!J$2,Tabela1[Category],Expenses!$A18)</f>
        <v>0</v>
      </c>
      <c r="K18" s="76">
        <f>SUMIFS(Tabela1[Amount],Tabela1[Month],Expenses!K$2,Tabela1[Category],Expenses!$A18)</f>
        <v>0</v>
      </c>
      <c r="L18" s="76">
        <f>SUMIFS(Tabela1[Amount],Tabela1[Month],Expenses!L$2,Tabela1[Category],Expenses!$A18)</f>
        <v>0</v>
      </c>
      <c r="M18" s="76">
        <f>SUMIFS(Tabela1[Amount],Tabela1[Month],Expenses!M$2,Tabela1[Category],Expenses!$A18)</f>
        <v>0</v>
      </c>
    </row>
    <row r="19" spans="1:14" ht="15" customHeight="1" x14ac:dyDescent="0.3"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4" s="32" customFormat="1" ht="18" customHeight="1" x14ac:dyDescent="0.3">
      <c r="A20" s="28" t="s">
        <v>0</v>
      </c>
      <c r="B20" s="50">
        <f t="shared" ref="B20:M20" si="1">SUM(B7:B18)</f>
        <v>0</v>
      </c>
      <c r="C20" s="50">
        <f t="shared" si="1"/>
        <v>0</v>
      </c>
      <c r="D20" s="50">
        <f t="shared" si="1"/>
        <v>0</v>
      </c>
      <c r="E20" s="50">
        <f t="shared" si="1"/>
        <v>0</v>
      </c>
      <c r="F20" s="50">
        <f t="shared" si="1"/>
        <v>0</v>
      </c>
      <c r="G20" s="50">
        <f t="shared" si="1"/>
        <v>0</v>
      </c>
      <c r="H20" s="50">
        <f t="shared" si="1"/>
        <v>0</v>
      </c>
      <c r="I20" s="50">
        <f t="shared" si="1"/>
        <v>0</v>
      </c>
      <c r="J20" s="50">
        <f t="shared" si="1"/>
        <v>0</v>
      </c>
      <c r="K20" s="50">
        <f t="shared" si="1"/>
        <v>0</v>
      </c>
      <c r="L20" s="50">
        <f t="shared" si="1"/>
        <v>0</v>
      </c>
      <c r="M20" s="50">
        <f t="shared" si="1"/>
        <v>0</v>
      </c>
      <c r="N20" s="34"/>
    </row>
  </sheetData>
  <sortState xmlns:xlrd2="http://schemas.microsoft.com/office/spreadsheetml/2017/richdata2" ref="A7:A17">
    <sortCondition ref="A7:A17"/>
  </sortState>
  <customSheetViews>
    <customSheetView guid="{12641207-4FA9-4498-AEA1-9BC1962A4F9A}" hiddenRows="1" topLeftCell="A4">
      <pane xSplit="1" topLeftCell="L1" activePane="topRight" state="frozen"/>
      <selection pane="topRight" activeCell="AN12" sqref="AN12"/>
      <pageMargins left="0.511811024" right="0.511811024" top="0.78740157499999996" bottom="0.78740157499999996" header="0.31496062000000002" footer="0.31496062000000002"/>
      <pageSetup paperSize="9" orientation="portrait" horizontalDpi="300" verticalDpi="300" r:id="rId1"/>
    </customSheetView>
  </customSheetViews>
  <conditionalFormatting sqref="N4:XFD4">
    <cfRule type="iconSet" priority="14">
      <iconSet>
        <cfvo type="percent" val="0"/>
        <cfvo type="num" val="200"/>
        <cfvo type="num" val="35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D9AA-7466-45C1-AB6A-4AD451301F03}">
  <dimension ref="B2:J17"/>
  <sheetViews>
    <sheetView zoomScaleNormal="100" workbookViewId="0">
      <selection activeCell="B2" sqref="B2"/>
    </sheetView>
  </sheetViews>
  <sheetFormatPr defaultRowHeight="15" x14ac:dyDescent="0.3"/>
  <cols>
    <col min="1" max="1" width="8.5703125" style="67" customWidth="1"/>
    <col min="2" max="3" width="17.140625" style="67" customWidth="1"/>
    <col min="4" max="4" width="4.42578125" style="67" customWidth="1"/>
    <col min="5" max="5" width="10.42578125" style="67" bestFit="1" customWidth="1"/>
    <col min="6" max="6" width="16.28515625" style="67" bestFit="1" customWidth="1"/>
    <col min="7" max="8" width="11.42578125" style="67" customWidth="1"/>
    <col min="9" max="10" width="17.140625" style="67" customWidth="1"/>
    <col min="11" max="13" width="9.140625" style="67"/>
    <col min="14" max="14" width="7.140625" style="67" customWidth="1"/>
    <col min="15" max="16384" width="9.140625" style="67"/>
  </cols>
  <sheetData>
    <row r="2" spans="2:10" x14ac:dyDescent="0.3">
      <c r="B2" s="28" t="s">
        <v>60</v>
      </c>
      <c r="C2" s="28" t="s">
        <v>47</v>
      </c>
      <c r="I2" s="28" t="s">
        <v>21</v>
      </c>
      <c r="J2" s="28" t="s">
        <v>54</v>
      </c>
    </row>
    <row r="3" spans="2:10" x14ac:dyDescent="0.3">
      <c r="B3" s="78" t="s">
        <v>0</v>
      </c>
      <c r="C3" s="79">
        <f>SUM(C6:C17)</f>
        <v>0</v>
      </c>
      <c r="I3" s="78" t="s">
        <v>0</v>
      </c>
      <c r="J3" s="79">
        <f>SUM(J6:J17)</f>
        <v>0</v>
      </c>
    </row>
    <row r="5" spans="2:10" x14ac:dyDescent="0.3">
      <c r="B5" s="67" t="s">
        <v>6</v>
      </c>
      <c r="C5" s="67" t="s">
        <v>20</v>
      </c>
      <c r="I5" s="67" t="s">
        <v>6</v>
      </c>
      <c r="J5" s="68" t="s">
        <v>20</v>
      </c>
    </row>
    <row r="6" spans="2:10" x14ac:dyDescent="0.3">
      <c r="B6" s="67" t="str" cm="1">
        <f t="array" ref="B6:B17">Months</f>
        <v>January</v>
      </c>
      <c r="C6" s="69" cm="1">
        <f t="array" ref="C6:C17">TRANSPOSE(_xlfn._xlws.FILTER('Net Salary'!B3:M14,Net_Salary='Graphic Categories'!C2))</f>
        <v>0</v>
      </c>
      <c r="I6" s="67" t="str" cm="1">
        <f t="array" ref="I6:I17">Months</f>
        <v>January</v>
      </c>
      <c r="J6" s="69" cm="1">
        <f t="array" ref="J6:J17">TRANSPOSE(_xlfn._xlws.FILTER(Expenses!B7:M18,Expenses='Graphic Categories'!J2))</f>
        <v>0</v>
      </c>
    </row>
    <row r="7" spans="2:10" x14ac:dyDescent="0.3">
      <c r="B7" s="67" t="str">
        <v>February</v>
      </c>
      <c r="C7" s="69">
        <v>0</v>
      </c>
      <c r="I7" s="67" t="str">
        <v>February</v>
      </c>
      <c r="J7" s="69">
        <v>0</v>
      </c>
    </row>
    <row r="8" spans="2:10" x14ac:dyDescent="0.3">
      <c r="B8" s="67" t="str">
        <v>March</v>
      </c>
      <c r="C8" s="69">
        <v>0</v>
      </c>
      <c r="I8" s="67" t="str">
        <v>March</v>
      </c>
      <c r="J8" s="69">
        <v>0</v>
      </c>
    </row>
    <row r="9" spans="2:10" x14ac:dyDescent="0.3">
      <c r="B9" s="67" t="str">
        <v>April</v>
      </c>
      <c r="C9" s="69">
        <v>0</v>
      </c>
      <c r="I9" s="67" t="str">
        <v>April</v>
      </c>
      <c r="J9" s="69">
        <v>0</v>
      </c>
    </row>
    <row r="10" spans="2:10" x14ac:dyDescent="0.3">
      <c r="B10" s="67" t="str">
        <v>May</v>
      </c>
      <c r="C10" s="69">
        <v>0</v>
      </c>
      <c r="I10" s="67" t="str">
        <v>May</v>
      </c>
      <c r="J10" s="69">
        <v>0</v>
      </c>
    </row>
    <row r="11" spans="2:10" x14ac:dyDescent="0.3">
      <c r="B11" s="67" t="str">
        <v>June</v>
      </c>
      <c r="C11" s="69">
        <v>0</v>
      </c>
      <c r="I11" s="67" t="str">
        <v>June</v>
      </c>
      <c r="J11" s="69">
        <v>0</v>
      </c>
    </row>
    <row r="12" spans="2:10" x14ac:dyDescent="0.3">
      <c r="B12" s="67" t="str">
        <v>July</v>
      </c>
      <c r="C12" s="69">
        <v>0</v>
      </c>
      <c r="I12" s="67" t="str">
        <v>July</v>
      </c>
      <c r="J12" s="69">
        <v>0</v>
      </c>
    </row>
    <row r="13" spans="2:10" x14ac:dyDescent="0.3">
      <c r="B13" s="67" t="str">
        <v>August</v>
      </c>
      <c r="C13" s="69">
        <v>0</v>
      </c>
      <c r="I13" s="67" t="str">
        <v>August</v>
      </c>
      <c r="J13" s="69">
        <v>0</v>
      </c>
    </row>
    <row r="14" spans="2:10" x14ac:dyDescent="0.3">
      <c r="B14" s="67" t="str">
        <v>September</v>
      </c>
      <c r="C14" s="69">
        <v>0</v>
      </c>
      <c r="I14" s="67" t="str">
        <v>September</v>
      </c>
      <c r="J14" s="69">
        <v>0</v>
      </c>
    </row>
    <row r="15" spans="2:10" x14ac:dyDescent="0.3">
      <c r="B15" s="67" t="str">
        <v>October</v>
      </c>
      <c r="C15" s="69">
        <v>0</v>
      </c>
      <c r="I15" s="67" t="str">
        <v>October</v>
      </c>
      <c r="J15" s="69">
        <v>0</v>
      </c>
    </row>
    <row r="16" spans="2:10" x14ac:dyDescent="0.3">
      <c r="B16" s="67" t="str">
        <v>November</v>
      </c>
      <c r="C16" s="69">
        <v>0</v>
      </c>
      <c r="I16" s="67" t="str">
        <v>November</v>
      </c>
      <c r="J16" s="69">
        <v>0</v>
      </c>
    </row>
    <row r="17" spans="2:10" x14ac:dyDescent="0.3">
      <c r="B17" s="67" t="str">
        <v>December</v>
      </c>
      <c r="C17" s="69">
        <v>0</v>
      </c>
      <c r="I17" s="67" t="str">
        <v>December</v>
      </c>
      <c r="J17" s="69">
        <v>0</v>
      </c>
    </row>
  </sheetData>
  <dataValidations count="2">
    <dataValidation type="list" allowBlank="1" showInputMessage="1" showErrorMessage="1" sqref="C2" xr:uid="{F3C6D088-7A2D-43B3-A954-374141D733A9}">
      <formula1>INDIRECT($B$2)</formula1>
    </dataValidation>
    <dataValidation type="list" allowBlank="1" showInputMessage="1" showErrorMessage="1" sqref="J2" xr:uid="{25F76189-A24E-400D-B956-F7969AA2CC14}">
      <formula1>INDIRECT($I$2)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BBFB-0958-43BD-B792-1E8101351275}">
  <sheetPr>
    <tabColor theme="0"/>
  </sheetPr>
  <dimension ref="C2:I16"/>
  <sheetViews>
    <sheetView zoomScale="145" zoomScaleNormal="145" workbookViewId="0">
      <selection activeCell="D4" sqref="D4"/>
    </sheetView>
  </sheetViews>
  <sheetFormatPr defaultRowHeight="14.3" x14ac:dyDescent="0.25"/>
  <cols>
    <col min="1" max="2" width="3.5703125" style="72" customWidth="1"/>
    <col min="3" max="3" width="11.42578125" style="72" customWidth="1"/>
    <col min="4" max="6" width="17.140625" style="72" customWidth="1"/>
    <col min="7" max="7" width="9.140625" style="72"/>
    <col min="8" max="9" width="14.28515625" style="72" customWidth="1"/>
    <col min="10" max="16384" width="9.140625" style="72"/>
  </cols>
  <sheetData>
    <row r="2" spans="3:9" x14ac:dyDescent="0.25">
      <c r="C2" s="72" t="s">
        <v>86</v>
      </c>
    </row>
    <row r="4" spans="3:9" ht="15" x14ac:dyDescent="0.3">
      <c r="D4" s="28" t="s">
        <v>78</v>
      </c>
      <c r="E4" s="28" t="s">
        <v>79</v>
      </c>
      <c r="F4" s="28" t="s">
        <v>85</v>
      </c>
      <c r="H4" s="28" t="s">
        <v>77</v>
      </c>
      <c r="I4" s="28" t="str">
        <f>'Balance &amp; Tracking'!B12</f>
        <v>Savings</v>
      </c>
    </row>
    <row r="5" spans="3:9" x14ac:dyDescent="0.25">
      <c r="D5" s="73" t="s">
        <v>80</v>
      </c>
      <c r="E5" s="81">
        <v>450</v>
      </c>
      <c r="F5" s="82">
        <f t="shared" ref="F5:F16" ca="1" si="0">$I$5/E5</f>
        <v>0</v>
      </c>
      <c r="H5" s="80" t="s">
        <v>0</v>
      </c>
      <c r="I5" s="81">
        <f ca="1">'Balance &amp; Tracking'!C12</f>
        <v>0</v>
      </c>
    </row>
    <row r="6" spans="3:9" x14ac:dyDescent="0.25">
      <c r="D6" s="73" t="s">
        <v>81</v>
      </c>
      <c r="E6" s="81">
        <v>350</v>
      </c>
      <c r="F6" s="82">
        <f t="shared" ca="1" si="0"/>
        <v>0</v>
      </c>
    </row>
    <row r="7" spans="3:9" x14ac:dyDescent="0.25">
      <c r="D7" s="73" t="s">
        <v>82</v>
      </c>
      <c r="E7" s="81">
        <v>12000</v>
      </c>
      <c r="F7" s="82">
        <f t="shared" ca="1" si="0"/>
        <v>0</v>
      </c>
    </row>
    <row r="8" spans="3:9" x14ac:dyDescent="0.25">
      <c r="D8" s="73" t="s">
        <v>83</v>
      </c>
      <c r="E8" s="81">
        <v>2500</v>
      </c>
      <c r="F8" s="82">
        <f t="shared" ca="1" si="0"/>
        <v>0</v>
      </c>
    </row>
    <row r="9" spans="3:9" x14ac:dyDescent="0.25">
      <c r="D9" s="73" t="s">
        <v>84</v>
      </c>
      <c r="E9" s="81">
        <v>1</v>
      </c>
      <c r="F9" s="82">
        <f t="shared" ca="1" si="0"/>
        <v>0</v>
      </c>
    </row>
    <row r="10" spans="3:9" x14ac:dyDescent="0.25">
      <c r="D10" s="73" t="s">
        <v>84</v>
      </c>
      <c r="E10" s="81">
        <v>1</v>
      </c>
      <c r="F10" s="82">
        <f t="shared" ca="1" si="0"/>
        <v>0</v>
      </c>
    </row>
    <row r="11" spans="3:9" x14ac:dyDescent="0.25">
      <c r="D11" s="73" t="s">
        <v>84</v>
      </c>
      <c r="E11" s="81">
        <v>1</v>
      </c>
      <c r="F11" s="82">
        <f t="shared" ca="1" si="0"/>
        <v>0</v>
      </c>
    </row>
    <row r="12" spans="3:9" x14ac:dyDescent="0.25">
      <c r="D12" s="73" t="s">
        <v>84</v>
      </c>
      <c r="E12" s="81">
        <v>1</v>
      </c>
      <c r="F12" s="82">
        <f t="shared" ca="1" si="0"/>
        <v>0</v>
      </c>
    </row>
    <row r="13" spans="3:9" x14ac:dyDescent="0.25">
      <c r="D13" s="73" t="s">
        <v>84</v>
      </c>
      <c r="E13" s="81">
        <v>1</v>
      </c>
      <c r="F13" s="82">
        <f t="shared" ca="1" si="0"/>
        <v>0</v>
      </c>
    </row>
    <row r="14" spans="3:9" x14ac:dyDescent="0.25">
      <c r="D14" s="73" t="s">
        <v>84</v>
      </c>
      <c r="E14" s="81">
        <v>1</v>
      </c>
      <c r="F14" s="82">
        <f t="shared" ca="1" si="0"/>
        <v>0</v>
      </c>
    </row>
    <row r="15" spans="3:9" x14ac:dyDescent="0.25">
      <c r="D15" s="73" t="s">
        <v>84</v>
      </c>
      <c r="E15" s="81">
        <v>1</v>
      </c>
      <c r="F15" s="82">
        <f t="shared" ca="1" si="0"/>
        <v>0</v>
      </c>
    </row>
    <row r="16" spans="3:9" x14ac:dyDescent="0.25">
      <c r="D16" s="73" t="s">
        <v>84</v>
      </c>
      <c r="E16" s="81">
        <v>1</v>
      </c>
      <c r="F16" s="82">
        <f t="shared" ca="1" si="0"/>
        <v>0</v>
      </c>
    </row>
  </sheetData>
  <conditionalFormatting sqref="F5:F16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{91AF8D87-94DF-460F-8F09-5DC272DAEDFD}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AF8D87-94DF-460F-8F09-5DC272DAEDF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F5:F16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30F4-3FAE-447F-BF05-82EFBCBD7BD0}">
  <sheetPr codeName="Planilha6">
    <tabColor theme="1"/>
  </sheetPr>
  <dimension ref="A1:P29"/>
  <sheetViews>
    <sheetView zoomScaleNormal="100" workbookViewId="0"/>
  </sheetViews>
  <sheetFormatPr defaultRowHeight="15" x14ac:dyDescent="0.3"/>
  <cols>
    <col min="1" max="1" width="15" style="2" customWidth="1"/>
    <col min="2" max="2" width="5.7109375" style="2" customWidth="1"/>
    <col min="3" max="4" width="15" style="2" customWidth="1"/>
    <col min="5" max="5" width="5.7109375" style="2" customWidth="1"/>
    <col min="6" max="6" width="15" style="2" customWidth="1"/>
    <col min="7" max="7" width="5.7109375" style="2" customWidth="1"/>
    <col min="8" max="8" width="15.140625" style="2" customWidth="1"/>
    <col min="9" max="9" width="15" style="2" customWidth="1"/>
    <col min="10" max="10" width="5.7109375" style="2" customWidth="1"/>
    <col min="11" max="11" width="15" style="2" customWidth="1"/>
    <col min="12" max="12" width="15.7109375" style="2" customWidth="1"/>
    <col min="13" max="13" width="5.7109375" style="2" customWidth="1"/>
    <col min="14" max="15" width="15" style="2" customWidth="1"/>
    <col min="16" max="16" width="9.140625" style="2"/>
    <col min="17" max="17" width="0.85546875" style="2" customWidth="1"/>
    <col min="18" max="19" width="9.140625" style="2"/>
    <col min="20" max="20" width="14" style="2" customWidth="1"/>
    <col min="21" max="21" width="5.5703125" style="2" customWidth="1"/>
    <col min="22" max="16384" width="9.140625" style="2"/>
  </cols>
  <sheetData>
    <row r="1" spans="1:16" ht="15.7" thickBot="1" x14ac:dyDescent="0.35"/>
    <row r="2" spans="1:16" x14ac:dyDescent="0.3">
      <c r="A2" s="3" t="s">
        <v>6</v>
      </c>
      <c r="B2" s="4"/>
      <c r="C2" s="12" t="s">
        <v>34</v>
      </c>
      <c r="D2" s="13" t="s">
        <v>35</v>
      </c>
      <c r="E2" s="4"/>
      <c r="F2" s="3" t="s">
        <v>21</v>
      </c>
      <c r="G2" s="4"/>
      <c r="H2" s="10" t="s">
        <v>36</v>
      </c>
      <c r="I2" s="11" t="s">
        <v>37</v>
      </c>
      <c r="K2" s="83" t="s">
        <v>39</v>
      </c>
      <c r="L2" s="84"/>
      <c r="M2" s="24"/>
      <c r="N2" s="83" t="s">
        <v>45</v>
      </c>
      <c r="O2" s="84"/>
    </row>
    <row r="3" spans="1:16" x14ac:dyDescent="0.3">
      <c r="A3" s="5" t="str" cm="1">
        <f t="array" ref="A3:A14">Months</f>
        <v>January</v>
      </c>
      <c r="B3" s="4"/>
      <c r="C3" s="38">
        <f>'Net Salary'!B16</f>
        <v>0</v>
      </c>
      <c r="D3" s="39">
        <f>SUM('Net Salary'!B$13:B$14)</f>
        <v>0</v>
      </c>
      <c r="E3" s="6"/>
      <c r="F3" s="44">
        <f>SUM(Expenses!B20:B20)</f>
        <v>0</v>
      </c>
      <c r="G3" s="7"/>
      <c r="H3" s="38">
        <f>I3</f>
        <v>0</v>
      </c>
      <c r="I3" s="41">
        <f>Expenses!B4</f>
        <v>0</v>
      </c>
      <c r="K3" s="25" t="s">
        <v>40</v>
      </c>
      <c r="L3" s="39">
        <f>SUM('Net Salary'!B3:M7)</f>
        <v>0</v>
      </c>
      <c r="M3" s="6"/>
      <c r="N3" s="27" t="str" cm="1">
        <f t="array" ref="N3:N14">Expenses</f>
        <v>Bills</v>
      </c>
      <c r="O3" s="48">
        <f>SUM(Expenses!B7:M7)</f>
        <v>0</v>
      </c>
    </row>
    <row r="4" spans="1:16" x14ac:dyDescent="0.3">
      <c r="A4" s="5" t="str">
        <v>February</v>
      </c>
      <c r="B4" s="4"/>
      <c r="C4" s="38">
        <f>'Net Salary'!C16</f>
        <v>0</v>
      </c>
      <c r="D4" s="39">
        <f>SUM('Net Salary'!C$13:C$14)</f>
        <v>0</v>
      </c>
      <c r="E4" s="6"/>
      <c r="F4" s="44">
        <f>SUM(Expenses!C20:C20)</f>
        <v>0</v>
      </c>
      <c r="G4" s="7"/>
      <c r="H4" s="38">
        <f t="shared" ref="H4:H14" si="0">I4-I3</f>
        <v>0</v>
      </c>
      <c r="I4" s="41">
        <f>Expenses!C4</f>
        <v>0</v>
      </c>
      <c r="K4" s="25" t="s">
        <v>41</v>
      </c>
      <c r="L4" s="39">
        <f>SUM('Net Salary'!B8:M12)</f>
        <v>0</v>
      </c>
      <c r="M4" s="6"/>
      <c r="N4" s="27" t="str">
        <v xml:space="preserve">Car </v>
      </c>
      <c r="O4" s="48">
        <f>SUM(Expenses!B8:M8)</f>
        <v>0</v>
      </c>
    </row>
    <row r="5" spans="1:16" x14ac:dyDescent="0.3">
      <c r="A5" s="5" t="str">
        <v>March</v>
      </c>
      <c r="B5" s="4"/>
      <c r="C5" s="38">
        <f>'Net Salary'!D16</f>
        <v>0</v>
      </c>
      <c r="D5" s="39">
        <f>SUM('Net Salary'!D$13:D$14)</f>
        <v>0</v>
      </c>
      <c r="E5" s="6"/>
      <c r="F5" s="44">
        <f>SUM(Expenses!D20:D20)</f>
        <v>0</v>
      </c>
      <c r="G5" s="7"/>
      <c r="H5" s="38">
        <f t="shared" si="0"/>
        <v>0</v>
      </c>
      <c r="I5" s="41">
        <f>Expenses!D4</f>
        <v>0</v>
      </c>
      <c r="K5" s="25" t="s">
        <v>34</v>
      </c>
      <c r="L5" s="39">
        <f>SUM('Net Salary'!B16:M16)</f>
        <v>0</v>
      </c>
      <c r="M5" s="6"/>
      <c r="N5" s="27" t="str">
        <v>Clothing</v>
      </c>
      <c r="O5" s="48">
        <f>SUM(Expenses!B9:M9)</f>
        <v>0</v>
      </c>
    </row>
    <row r="6" spans="1:16" x14ac:dyDescent="0.3">
      <c r="A6" s="5" t="str">
        <v>April</v>
      </c>
      <c r="B6" s="4"/>
      <c r="C6" s="38">
        <f>'Net Salary'!E16</f>
        <v>0</v>
      </c>
      <c r="D6" s="39">
        <f>SUM('Net Salary'!E$13:E$14)</f>
        <v>0</v>
      </c>
      <c r="E6" s="6"/>
      <c r="F6" s="44">
        <f>SUM(Expenses!E20:E20)</f>
        <v>0</v>
      </c>
      <c r="G6" s="7"/>
      <c r="H6" s="38">
        <f t="shared" si="0"/>
        <v>0</v>
      </c>
      <c r="I6" s="41">
        <f>Expenses!E4</f>
        <v>0</v>
      </c>
      <c r="K6" s="25" t="s">
        <v>42</v>
      </c>
      <c r="L6" s="39">
        <f>SUM(Expenses!B7:B17,Expenses!C7:C17,Expenses!D7:D17,Expenses!E7:E17,Expenses!F7:F17,Expenses!G7:G17,Expenses!H7:H17,Expenses!I7:I17,Expenses!J7:J17,Expenses!K7:K17,Expenses!L7:L17,Expenses!M7:M17)</f>
        <v>0</v>
      </c>
      <c r="M6" s="6"/>
      <c r="N6" s="27" t="str">
        <v>Eletron n' games</v>
      </c>
      <c r="O6" s="48">
        <f>SUM(Expenses!B10:M10)</f>
        <v>0</v>
      </c>
    </row>
    <row r="7" spans="1:16" x14ac:dyDescent="0.3">
      <c r="A7" s="5" t="str">
        <v>May</v>
      </c>
      <c r="B7" s="4"/>
      <c r="C7" s="38">
        <f>'Net Salary'!F16</f>
        <v>0</v>
      </c>
      <c r="D7" s="39">
        <f>SUM('Net Salary'!F$13:F$14)</f>
        <v>0</v>
      </c>
      <c r="E7" s="6"/>
      <c r="F7" s="44">
        <f>SUM(Expenses!F20:F20)</f>
        <v>0</v>
      </c>
      <c r="G7" s="7"/>
      <c r="H7" s="38">
        <f t="shared" si="0"/>
        <v>0</v>
      </c>
      <c r="I7" s="41">
        <f>Expenses!F4</f>
        <v>0</v>
      </c>
      <c r="K7" s="25" t="s">
        <v>43</v>
      </c>
      <c r="L7" s="39">
        <f>SUM(Expenses!B18:B18,Expenses!C18:C18,Expenses!D18:D18,Expenses!E18:E18,Expenses!F18:F18,Expenses!G18:G18,Expenses!H18:H18,Expenses!I18:I18,Expenses!J18:J18,Expenses!K18:K18,Expenses!L18:L18,Expenses!M18:M18)</f>
        <v>0</v>
      </c>
      <c r="M7" s="6"/>
      <c r="N7" s="27" t="str">
        <v>Food</v>
      </c>
      <c r="O7" s="48">
        <f>SUM(Expenses!B11:M11)</f>
        <v>0</v>
      </c>
    </row>
    <row r="8" spans="1:16" x14ac:dyDescent="0.3">
      <c r="A8" s="5" t="str">
        <v>June</v>
      </c>
      <c r="B8" s="4"/>
      <c r="C8" s="38">
        <f>'Net Salary'!G16</f>
        <v>0</v>
      </c>
      <c r="D8" s="39">
        <f>SUM('Net Salary'!G$13:G$14)</f>
        <v>0</v>
      </c>
      <c r="E8" s="6"/>
      <c r="F8" s="44">
        <f>SUM(Expenses!G20:G20)</f>
        <v>0</v>
      </c>
      <c r="G8" s="7"/>
      <c r="H8" s="38">
        <f t="shared" si="0"/>
        <v>0</v>
      </c>
      <c r="I8" s="41">
        <f>Expenses!G4</f>
        <v>0</v>
      </c>
      <c r="K8" s="25" t="s">
        <v>44</v>
      </c>
      <c r="L8" s="39">
        <f>SUM(L6:L7)</f>
        <v>0</v>
      </c>
      <c r="M8" s="6"/>
      <c r="N8" s="27" t="str">
        <v>Gasolina</v>
      </c>
      <c r="O8" s="48">
        <f>SUM(Expenses!B12:M12)</f>
        <v>0</v>
      </c>
    </row>
    <row r="9" spans="1:16" x14ac:dyDescent="0.3">
      <c r="A9" s="5" t="str">
        <v>July</v>
      </c>
      <c r="B9" s="4"/>
      <c r="C9" s="38">
        <f>'Net Salary'!H16</f>
        <v>0</v>
      </c>
      <c r="D9" s="39">
        <f>SUM('Net Salary'!H$13:H$14)</f>
        <v>0</v>
      </c>
      <c r="E9" s="6"/>
      <c r="F9" s="44">
        <f>SUM(Expenses!H20:H20)</f>
        <v>0</v>
      </c>
      <c r="G9" s="7"/>
      <c r="H9" s="38">
        <f t="shared" si="0"/>
        <v>0</v>
      </c>
      <c r="I9" s="41">
        <f>Expenses!H4</f>
        <v>0</v>
      </c>
      <c r="K9" s="25" t="s">
        <v>38</v>
      </c>
      <c r="L9" s="41">
        <f>Expenses!M4</f>
        <v>0</v>
      </c>
      <c r="M9" s="7"/>
      <c r="N9" s="27" t="str">
        <v>Hang out</v>
      </c>
      <c r="O9" s="48">
        <f>SUM(Expenses!B13:M13)</f>
        <v>0</v>
      </c>
    </row>
    <row r="10" spans="1:16" ht="15.7" thickBot="1" x14ac:dyDescent="0.35">
      <c r="A10" s="5" t="str">
        <v>August</v>
      </c>
      <c r="B10" s="4"/>
      <c r="C10" s="38">
        <f>'Net Salary'!I16</f>
        <v>0</v>
      </c>
      <c r="D10" s="39">
        <f>SUM('Net Salary'!I$13:I$14)</f>
        <v>0</v>
      </c>
      <c r="E10" s="6"/>
      <c r="F10" s="44">
        <f>SUM(Expenses!I20:I20)</f>
        <v>0</v>
      </c>
      <c r="G10" s="7"/>
      <c r="H10" s="38">
        <f t="shared" si="0"/>
        <v>0</v>
      </c>
      <c r="I10" s="41">
        <f>Expenses!I4</f>
        <v>0</v>
      </c>
      <c r="K10" s="26" t="s">
        <v>35</v>
      </c>
      <c r="L10" s="43">
        <f>'Graphic Annual'!D15</f>
        <v>0</v>
      </c>
      <c r="M10" s="7"/>
      <c r="N10" s="27" t="str">
        <v>Healthcare</v>
      </c>
      <c r="O10" s="48">
        <f>SUM(Expenses!B14:M14)</f>
        <v>0</v>
      </c>
    </row>
    <row r="11" spans="1:16" x14ac:dyDescent="0.3">
      <c r="A11" s="5" t="str">
        <v>September</v>
      </c>
      <c r="B11" s="4"/>
      <c r="C11" s="38">
        <f>'Net Salary'!J16</f>
        <v>0</v>
      </c>
      <c r="D11" s="39">
        <f>SUM('Net Salary'!J$13:J$14)</f>
        <v>0</v>
      </c>
      <c r="E11" s="6"/>
      <c r="F11" s="44">
        <f>SUM(Expenses!J20:J20)</f>
        <v>0</v>
      </c>
      <c r="G11" s="7"/>
      <c r="H11" s="38">
        <f t="shared" si="0"/>
        <v>0</v>
      </c>
      <c r="I11" s="41">
        <f>Expenses!J4</f>
        <v>0</v>
      </c>
      <c r="L11" s="7"/>
      <c r="M11" s="7"/>
      <c r="N11" s="25" t="str">
        <v>Insurance</v>
      </c>
      <c r="O11" s="48">
        <f>SUM(Expenses!B15:M15)</f>
        <v>0</v>
      </c>
    </row>
    <row r="12" spans="1:16" ht="15.7" customHeight="1" x14ac:dyDescent="0.3">
      <c r="A12" s="5" t="str">
        <v>October</v>
      </c>
      <c r="B12" s="4"/>
      <c r="C12" s="38">
        <f>'Net Salary'!K16</f>
        <v>0</v>
      </c>
      <c r="D12" s="39">
        <f>SUM('Net Salary'!K$13:K$14)</f>
        <v>0</v>
      </c>
      <c r="E12" s="6"/>
      <c r="F12" s="44">
        <f>SUM(Expenses!K20:K20)</f>
        <v>0</v>
      </c>
      <c r="G12" s="7"/>
      <c r="H12" s="38">
        <f t="shared" si="0"/>
        <v>0</v>
      </c>
      <c r="I12" s="41">
        <f>Expenses!K4</f>
        <v>0</v>
      </c>
      <c r="L12" s="4"/>
      <c r="M12" s="4"/>
      <c r="N12" s="25" t="str">
        <v>Personal Care</v>
      </c>
      <c r="O12" s="48">
        <f>SUM(Expenses!B16:M16)</f>
        <v>0</v>
      </c>
      <c r="P12" s="4"/>
    </row>
    <row r="13" spans="1:16" x14ac:dyDescent="0.3">
      <c r="A13" s="5" t="str">
        <v>November</v>
      </c>
      <c r="B13" s="4"/>
      <c r="C13" s="38">
        <f>'Net Salary'!L16</f>
        <v>0</v>
      </c>
      <c r="D13" s="39">
        <f>SUM('Net Salary'!L$13:L$14)</f>
        <v>0</v>
      </c>
      <c r="E13" s="6"/>
      <c r="F13" s="44">
        <f>SUM(Expenses!L20:L20)</f>
        <v>0</v>
      </c>
      <c r="G13" s="7"/>
      <c r="H13" s="38">
        <f t="shared" si="0"/>
        <v>0</v>
      </c>
      <c r="I13" s="41">
        <f>Expenses!L4</f>
        <v>0</v>
      </c>
      <c r="L13" s="4"/>
      <c r="M13" s="4"/>
      <c r="N13" s="25" t="str">
        <v>Travel</v>
      </c>
      <c r="O13" s="48">
        <f>SUM(Expenses!B17:M17)</f>
        <v>0</v>
      </c>
      <c r="P13" s="4"/>
    </row>
    <row r="14" spans="1:16" ht="15" customHeight="1" thickBot="1" x14ac:dyDescent="0.35">
      <c r="A14" s="5" t="str">
        <v>December</v>
      </c>
      <c r="B14" s="4"/>
      <c r="C14" s="38">
        <f>'Net Salary'!M16</f>
        <v>0</v>
      </c>
      <c r="D14" s="39">
        <f>SUM('Net Salary'!M$13:M$14)</f>
        <v>0</v>
      </c>
      <c r="E14" s="6"/>
      <c r="F14" s="44">
        <f>SUM(Expenses!M20:N20)</f>
        <v>0</v>
      </c>
      <c r="G14" s="7"/>
      <c r="H14" s="38">
        <f t="shared" si="0"/>
        <v>0</v>
      </c>
      <c r="I14" s="41">
        <f>Expenses!M4</f>
        <v>0</v>
      </c>
      <c r="N14" s="26" t="str">
        <v>General expen.</v>
      </c>
      <c r="O14" s="49">
        <f>SUM(Expenses!B18:M18)</f>
        <v>0</v>
      </c>
    </row>
    <row r="15" spans="1:16" ht="15.7" thickBot="1" x14ac:dyDescent="0.35">
      <c r="A15" s="5" t="s">
        <v>1</v>
      </c>
      <c r="B15" s="4"/>
      <c r="C15" s="40">
        <f>SUM(C3:C14)</f>
        <v>0</v>
      </c>
      <c r="D15" s="39">
        <f>SUM(D3:D14)</f>
        <v>0</v>
      </c>
      <c r="E15" s="6"/>
      <c r="F15" s="44">
        <f>SUM(F3:F14)</f>
        <v>0</v>
      </c>
      <c r="G15" s="7"/>
      <c r="H15" s="14" t="s">
        <v>38</v>
      </c>
      <c r="I15" s="43">
        <f>'Graphic Annual'!L9</f>
        <v>0</v>
      </c>
    </row>
    <row r="16" spans="1:16" x14ac:dyDescent="0.3">
      <c r="A16" s="5" t="s">
        <v>33</v>
      </c>
      <c r="B16" s="4"/>
      <c r="C16" s="40">
        <f>AVERAGE(C3:C14)</f>
        <v>0</v>
      </c>
      <c r="D16" s="39">
        <f>AVERAGE(D3:D14)</f>
        <v>0</v>
      </c>
      <c r="E16" s="6"/>
      <c r="F16" s="45">
        <f>AVERAGE(F3:F14)</f>
        <v>0</v>
      </c>
      <c r="G16" s="6"/>
      <c r="H16" s="4"/>
      <c r="I16" s="9"/>
    </row>
    <row r="17" spans="1:8" x14ac:dyDescent="0.3">
      <c r="A17" s="5" t="s">
        <v>2</v>
      </c>
      <c r="B17" s="4"/>
      <c r="C17" s="38">
        <f>SUM(C3:C8)</f>
        <v>0</v>
      </c>
      <c r="D17" s="41">
        <f>SUM(D3:D8)</f>
        <v>0</v>
      </c>
      <c r="E17" s="7"/>
      <c r="F17" s="46">
        <f>SUM(F3:F8)</f>
        <v>0</v>
      </c>
      <c r="G17" s="4"/>
      <c r="H17" s="6"/>
    </row>
    <row r="18" spans="1:8" ht="15.7" thickBot="1" x14ac:dyDescent="0.35">
      <c r="A18" s="8" t="s">
        <v>3</v>
      </c>
      <c r="B18" s="4"/>
      <c r="C18" s="42">
        <f>SUM($C$9:$C$14)</f>
        <v>0</v>
      </c>
      <c r="D18" s="43">
        <f>SUM($D$9:$D$14)</f>
        <v>0</v>
      </c>
      <c r="E18" s="7"/>
      <c r="F18" s="47">
        <f>SUM($F$9:$F$14)</f>
        <v>0</v>
      </c>
      <c r="G18" s="4"/>
      <c r="H18" s="4"/>
    </row>
    <row r="26" spans="1:8" ht="14.3" customHeight="1" x14ac:dyDescent="0.3"/>
    <row r="27" spans="1:8" ht="8.5500000000000007" customHeight="1" x14ac:dyDescent="0.3"/>
    <row r="28" spans="1:8" ht="17.149999999999999" customHeight="1" x14ac:dyDescent="0.3"/>
    <row r="29" spans="1:8" ht="9.3000000000000007" customHeight="1" x14ac:dyDescent="0.3"/>
  </sheetData>
  <mergeCells count="2">
    <mergeCell ref="K2:L2"/>
    <mergeCell ref="N2:O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12</vt:i4>
      </vt:variant>
    </vt:vector>
  </HeadingPairs>
  <TitlesOfParts>
    <vt:vector size="19" baseType="lpstr">
      <vt:lpstr>Data Validation</vt:lpstr>
      <vt:lpstr>Balance &amp; Tracking</vt:lpstr>
      <vt:lpstr>Net Salary</vt:lpstr>
      <vt:lpstr>Expenses</vt:lpstr>
      <vt:lpstr>Graphic Categories</vt:lpstr>
      <vt:lpstr>Goals</vt:lpstr>
      <vt:lpstr>Graphic Annual</vt:lpstr>
      <vt:lpstr>Accounts</vt:lpstr>
      <vt:lpstr>Dash</vt:lpstr>
      <vt:lpstr>Discount</vt:lpstr>
      <vt:lpstr>Goals!Expenses</vt:lpstr>
      <vt:lpstr>Expenses</vt:lpstr>
      <vt:lpstr>Income</vt:lpstr>
      <vt:lpstr>Goals!Investments</vt:lpstr>
      <vt:lpstr>Investments</vt:lpstr>
      <vt:lpstr>Months</vt:lpstr>
      <vt:lpstr>Net_Salary</vt:lpstr>
      <vt:lpstr>Payment</vt:lpstr>
      <vt:lpstr>Transfer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Robison</dc:creator>
  <cp:lastModifiedBy>Robison Torres</cp:lastModifiedBy>
  <cp:lastPrinted>2023-10-12T20:05:55Z</cp:lastPrinted>
  <dcterms:created xsi:type="dcterms:W3CDTF">2011-04-06T00:31:18Z</dcterms:created>
  <dcterms:modified xsi:type="dcterms:W3CDTF">2024-03-25T17:18:44Z</dcterms:modified>
</cp:coreProperties>
</file>