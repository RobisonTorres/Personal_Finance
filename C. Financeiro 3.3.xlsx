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rcssi\Code\Personal_Finance\"/>
    </mc:Choice>
  </mc:AlternateContent>
  <xr:revisionPtr revIDLastSave="0" documentId="13_ncr:1_{CBA4D916-2B0B-47D0-AD28-E175013967EA}" xr6:coauthVersionLast="47" xr6:coauthVersionMax="47" xr10:uidLastSave="{00000000-0000-0000-0000-000000000000}"/>
  <bookViews>
    <workbookView xWindow="-114" yWindow="-114" windowWidth="19704" windowHeight="11178" tabRatio="792" xr2:uid="{00000000-000D-0000-FFFF-FFFF00000000}"/>
  </bookViews>
  <sheets>
    <sheet name="Saldo &amp; Mov." sheetId="12" r:id="rId1"/>
    <sheet name="Receitas - Mapa" sheetId="8" state="hidden" r:id="rId2"/>
    <sheet name="Despesas - Mapa" sheetId="1" state="hidden" r:id="rId3"/>
    <sheet name="Gráfico - Anual" sheetId="13" r:id="rId4"/>
  </sheets>
  <definedNames>
    <definedName name="Ativos">'Saldo &amp; Mov.'!$B$6:$B$8</definedName>
    <definedName name="Categorias">'Despesas - Mapa'!$C$7:$C$15</definedName>
    <definedName name="Dash">'Gráfico - Anual'!$A$1:$P$26</definedName>
    <definedName name="Despesas">'Despesas - Mapa'!$C$7:$C$15</definedName>
    <definedName name="Investimentos">'Receitas - Mapa'!$A$16:$A$17</definedName>
    <definedName name="Perdas">'Receitas - Mapa'!$A$9:$A$12</definedName>
    <definedName name="Receitas">'Receitas - Mapa'!$A$4:$A$6</definedName>
    <definedName name="Transferir">'Saldo &amp; Mov.'!$B$6:$B$8</definedName>
    <definedName name="Z_12641207_4FA9_4498_AEA1_9BC1962A4F9A_.wvu.Rows" localSheetId="2" hidden="1">'Despesas - Mapa'!$6:$6,'Despesas - Mapa'!#REF!</definedName>
  </definedNames>
  <calcPr calcId="191029"/>
  <customWorkbookViews>
    <customWorkbookView name="Robison - Modo de exibição pessoal" guid="{12641207-4FA9-4498-AEA1-9BC1962A4F9A}" mergeInterval="0" personalView="1" maximized="1" xWindow="1" yWindow="1" windowWidth="1020" windowHeight="54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2" l="1" a="1"/>
  <c r="E4" i="12" s="1"/>
  <c r="C19" i="12" l="1"/>
  <c r="C18" i="12"/>
  <c r="N10" i="13" l="1"/>
  <c r="N9" i="13"/>
  <c r="N8" i="13"/>
  <c r="N7" i="13"/>
  <c r="N6" i="13"/>
  <c r="N5" i="13"/>
  <c r="N4" i="13"/>
  <c r="N3" i="13"/>
  <c r="A14" i="13"/>
  <c r="A13" i="13"/>
  <c r="A12" i="13"/>
  <c r="A11" i="13"/>
  <c r="A10" i="13"/>
  <c r="A9" i="13"/>
  <c r="A8" i="13"/>
  <c r="A7" i="13"/>
  <c r="A6" i="13"/>
  <c r="A5" i="13"/>
  <c r="A4" i="13"/>
  <c r="A3" i="13"/>
  <c r="C17" i="12"/>
  <c r="C28" i="12"/>
  <c r="D28" i="12" s="1"/>
  <c r="E28" i="12" s="1"/>
  <c r="F28" i="12" s="1"/>
  <c r="C6" i="12" l="1" a="1"/>
  <c r="C6" i="12" s="1"/>
  <c r="G28" i="12"/>
  <c r="C8" i="12" a="1"/>
  <c r="C8" i="12" s="1"/>
  <c r="C7" i="12" a="1"/>
  <c r="C7" i="12" s="1"/>
  <c r="M2" i="8"/>
  <c r="L2" i="8"/>
  <c r="K2" i="8"/>
  <c r="J2" i="8"/>
  <c r="I2" i="8"/>
  <c r="H2" i="8"/>
  <c r="G2" i="8"/>
  <c r="F2" i="8"/>
  <c r="E2" i="8"/>
  <c r="D2" i="8"/>
  <c r="C2" i="8"/>
  <c r="B2" i="8"/>
  <c r="P2" i="1"/>
  <c r="S2" i="1"/>
  <c r="V2" i="1"/>
  <c r="Y2" i="1"/>
  <c r="AB2" i="1"/>
  <c r="AE2" i="1"/>
  <c r="AH2" i="1"/>
  <c r="AK2" i="1"/>
  <c r="M2" i="1"/>
  <c r="J2" i="1"/>
  <c r="G2" i="1"/>
  <c r="D2" i="1"/>
  <c r="C37" i="12" l="1"/>
  <c r="C49" i="12" l="1"/>
  <c r="C48" i="12"/>
  <c r="C47" i="12"/>
  <c r="C46" i="12"/>
  <c r="C45" i="12"/>
  <c r="C44" i="12"/>
  <c r="C43" i="12"/>
  <c r="C42" i="12"/>
  <c r="C41" i="12"/>
  <c r="C40" i="12"/>
  <c r="C39" i="12"/>
  <c r="C9" i="12" l="1"/>
  <c r="B14" i="12"/>
  <c r="C52" i="12"/>
  <c r="C16" i="12"/>
  <c r="C38" i="12"/>
  <c r="C50" i="12"/>
  <c r="C51" i="12"/>
  <c r="C64" i="12"/>
  <c r="C65" i="12"/>
  <c r="K11" i="8" l="1"/>
  <c r="G11" i="8"/>
  <c r="B11" i="8"/>
  <c r="L11" i="8"/>
  <c r="C11" i="8"/>
  <c r="M11" i="8"/>
  <c r="H11" i="8"/>
  <c r="J11" i="8"/>
  <c r="I11" i="8"/>
  <c r="D11" i="8"/>
  <c r="F11" i="8"/>
  <c r="E11" i="8"/>
  <c r="K5" i="8"/>
  <c r="K12" i="8"/>
  <c r="K6" i="8"/>
  <c r="K9" i="8"/>
  <c r="K10" i="8"/>
  <c r="B12" i="8"/>
  <c r="B4" i="8"/>
  <c r="B9" i="8"/>
  <c r="C9" i="8"/>
  <c r="J10" i="8"/>
  <c r="F9" i="8"/>
  <c r="M10" i="8"/>
  <c r="I9" i="8"/>
  <c r="I12" i="8"/>
  <c r="L12" i="8"/>
  <c r="F10" i="8"/>
  <c r="I10" i="8"/>
  <c r="E9" i="8"/>
  <c r="E12" i="8"/>
  <c r="L9" i="8"/>
  <c r="H12" i="8"/>
  <c r="C10" i="8"/>
  <c r="G12" i="8"/>
  <c r="B10" i="8"/>
  <c r="J12" i="8"/>
  <c r="E10" i="8"/>
  <c r="L10" i="8"/>
  <c r="H9" i="8"/>
  <c r="D12" i="8"/>
  <c r="C12" i="8"/>
  <c r="J9" i="8"/>
  <c r="F12" i="8"/>
  <c r="M9" i="8"/>
  <c r="M12" i="8"/>
  <c r="H10" i="8"/>
  <c r="D9" i="8"/>
  <c r="G9" i="8"/>
  <c r="D10" i="8"/>
  <c r="G10" i="8"/>
  <c r="D7" i="1"/>
  <c r="M17" i="8"/>
  <c r="I17" i="8"/>
  <c r="E17" i="8"/>
  <c r="M16" i="8"/>
  <c r="I16" i="8"/>
  <c r="E16" i="8"/>
  <c r="L6" i="8"/>
  <c r="H6" i="8"/>
  <c r="D6" i="8"/>
  <c r="L5" i="8"/>
  <c r="H5" i="8"/>
  <c r="D5" i="8"/>
  <c r="L4" i="8"/>
  <c r="H4" i="8"/>
  <c r="D4" i="8"/>
  <c r="L17" i="8"/>
  <c r="H17" i="8"/>
  <c r="D17" i="8"/>
  <c r="L16" i="8"/>
  <c r="H16" i="8"/>
  <c r="D16" i="8"/>
  <c r="G6" i="8"/>
  <c r="C6" i="8"/>
  <c r="G5" i="8"/>
  <c r="C5" i="8"/>
  <c r="K4" i="8"/>
  <c r="G4" i="8"/>
  <c r="C4" i="8"/>
  <c r="K17" i="8"/>
  <c r="G17" i="8"/>
  <c r="C17" i="8"/>
  <c r="K16" i="8"/>
  <c r="G16" i="8"/>
  <c r="C16" i="8"/>
  <c r="J6" i="8"/>
  <c r="F6" i="8"/>
  <c r="B6" i="8"/>
  <c r="J5" i="8"/>
  <c r="F5" i="8"/>
  <c r="B5" i="8"/>
  <c r="J4" i="8"/>
  <c r="F4" i="8"/>
  <c r="J17" i="8"/>
  <c r="F17" i="8"/>
  <c r="B17" i="8"/>
  <c r="J16" i="8"/>
  <c r="F16" i="8"/>
  <c r="B16" i="8"/>
  <c r="M6" i="8"/>
  <c r="I6" i="8"/>
  <c r="E6" i="8"/>
  <c r="M5" i="8"/>
  <c r="I5" i="8"/>
  <c r="E5" i="8"/>
  <c r="M4" i="8"/>
  <c r="I4" i="8"/>
  <c r="E4" i="8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AJ7" i="1" a="1"/>
  <c r="AJ7" i="1" s="1"/>
  <c r="AG7" i="1" a="1"/>
  <c r="AG7" i="1" s="1"/>
  <c r="AD7" i="1" a="1"/>
  <c r="AD7" i="1" s="1"/>
  <c r="AA7" i="1" a="1"/>
  <c r="AA7" i="1" s="1"/>
  <c r="X7" i="1" a="1"/>
  <c r="X7" i="1" s="1"/>
  <c r="U7" i="1" a="1"/>
  <c r="U7" i="1" s="1"/>
  <c r="R7" i="1" a="1"/>
  <c r="R7" i="1" s="1"/>
  <c r="O7" i="1" a="1"/>
  <c r="O7" i="1" s="1"/>
  <c r="L7" i="1" a="1"/>
  <c r="L7" i="1" s="1"/>
  <c r="I7" i="1" a="1"/>
  <c r="I7" i="1" s="1"/>
  <c r="F7" i="1" a="1"/>
  <c r="F7" i="1" s="1"/>
  <c r="D8" i="13" l="1"/>
  <c r="I13" i="8"/>
  <c r="C13" i="8"/>
  <c r="M13" i="8"/>
  <c r="M19" i="8"/>
  <c r="G13" i="8"/>
  <c r="F13" i="8"/>
  <c r="K13" i="8"/>
  <c r="H13" i="8"/>
  <c r="D13" i="8"/>
  <c r="B19" i="8"/>
  <c r="C3" i="13" s="1"/>
  <c r="B13" i="8"/>
  <c r="E13" i="8"/>
  <c r="J13" i="8"/>
  <c r="L13" i="8"/>
  <c r="D3" i="13"/>
  <c r="D12" i="13"/>
  <c r="D9" i="13"/>
  <c r="D14" i="13"/>
  <c r="D5" i="13"/>
  <c r="D10" i="13"/>
  <c r="D13" i="13"/>
  <c r="L3" i="13"/>
  <c r="L5" i="13"/>
  <c r="D11" i="13"/>
  <c r="D4" i="13"/>
  <c r="D6" i="13"/>
  <c r="L4" i="13"/>
  <c r="D7" i="13"/>
  <c r="C19" i="8"/>
  <c r="C4" i="13" s="1"/>
  <c r="D19" i="8"/>
  <c r="C5" i="13" s="1"/>
  <c r="I19" i="8"/>
  <c r="C10" i="13" s="1"/>
  <c r="F19" i="8"/>
  <c r="C7" i="13" s="1"/>
  <c r="G19" i="8"/>
  <c r="C8" i="13" s="1"/>
  <c r="H19" i="8"/>
  <c r="C9" i="13" s="1"/>
  <c r="E19" i="8"/>
  <c r="C6" i="13" s="1"/>
  <c r="C14" i="13"/>
  <c r="J19" i="8"/>
  <c r="C11" i="13" s="1"/>
  <c r="K19" i="8"/>
  <c r="C12" i="13" s="1"/>
  <c r="L19" i="8"/>
  <c r="C13" i="13" s="1"/>
  <c r="AK15" i="1"/>
  <c r="V9" i="1"/>
  <c r="Y12" i="1"/>
  <c r="AK10" i="1"/>
  <c r="D15" i="1"/>
  <c r="V15" i="1"/>
  <c r="G7" i="1"/>
  <c r="M9" i="1"/>
  <c r="J11" i="1"/>
  <c r="D10" i="1"/>
  <c r="P8" i="1"/>
  <c r="AB11" i="1"/>
  <c r="M14" i="1"/>
  <c r="AE9" i="1"/>
  <c r="AK14" i="1"/>
  <c r="G11" i="1"/>
  <c r="P13" i="1"/>
  <c r="AH7" i="1"/>
  <c r="S11" i="1"/>
  <c r="AE14" i="1"/>
  <c r="AH13" i="1"/>
  <c r="Y7" i="1"/>
  <c r="D14" i="1"/>
  <c r="D8" i="1"/>
  <c r="J7" i="1"/>
  <c r="J13" i="1"/>
  <c r="P9" i="1"/>
  <c r="P14" i="1"/>
  <c r="V11" i="1"/>
  <c r="AB7" i="1"/>
  <c r="AB12" i="1"/>
  <c r="AH9" i="1"/>
  <c r="AH14" i="1"/>
  <c r="M10" i="1"/>
  <c r="S7" i="1"/>
  <c r="S12" i="1"/>
  <c r="Y8" i="1"/>
  <c r="Y14" i="1"/>
  <c r="AE10" i="1"/>
  <c r="AE15" i="1"/>
  <c r="AK12" i="1"/>
  <c r="G12" i="1"/>
  <c r="D12" i="1"/>
  <c r="G8" i="1"/>
  <c r="G13" i="1"/>
  <c r="J9" i="1"/>
  <c r="J14" i="1"/>
  <c r="P10" i="1"/>
  <c r="V7" i="1"/>
  <c r="V12" i="1"/>
  <c r="AB8" i="1"/>
  <c r="AB14" i="1"/>
  <c r="AH10" i="1"/>
  <c r="AH15" i="1"/>
  <c r="M12" i="1"/>
  <c r="S8" i="1"/>
  <c r="S13" i="1"/>
  <c r="Y10" i="1"/>
  <c r="Y15" i="1"/>
  <c r="AE11" i="1"/>
  <c r="AK8" i="1"/>
  <c r="AK13" i="1"/>
  <c r="D11" i="1"/>
  <c r="G9" i="1"/>
  <c r="G15" i="1"/>
  <c r="J10" i="1"/>
  <c r="J15" i="1"/>
  <c r="P12" i="1"/>
  <c r="V8" i="1"/>
  <c r="V13" i="1"/>
  <c r="AB10" i="1"/>
  <c r="AB15" i="1"/>
  <c r="AH11" i="1"/>
  <c r="M8" i="1"/>
  <c r="M13" i="1"/>
  <c r="S9" i="1"/>
  <c r="S15" i="1"/>
  <c r="Y11" i="1"/>
  <c r="AE7" i="1"/>
  <c r="AE13" i="1"/>
  <c r="AK9" i="1"/>
  <c r="D13" i="1"/>
  <c r="D9" i="1"/>
  <c r="G10" i="1"/>
  <c r="G14" i="1"/>
  <c r="J8" i="1"/>
  <c r="J12" i="1"/>
  <c r="P7" i="1"/>
  <c r="P11" i="1"/>
  <c r="P15" i="1"/>
  <c r="V10" i="1"/>
  <c r="V14" i="1"/>
  <c r="AB9" i="1"/>
  <c r="AB13" i="1"/>
  <c r="AH8" i="1"/>
  <c r="AH12" i="1"/>
  <c r="M7" i="1"/>
  <c r="M11" i="1"/>
  <c r="M15" i="1"/>
  <c r="S10" i="1"/>
  <c r="S14" i="1"/>
  <c r="Y9" i="1"/>
  <c r="Y13" i="1"/>
  <c r="AE8" i="1"/>
  <c r="AE12" i="1"/>
  <c r="AK7" i="1"/>
  <c r="AK11" i="1"/>
  <c r="F4" i="12" l="1" a="1"/>
  <c r="F4" i="12" s="1"/>
  <c r="C4" i="12" s="1"/>
  <c r="D18" i="13"/>
  <c r="O3" i="13"/>
  <c r="O9" i="13"/>
  <c r="L7" i="13"/>
  <c r="C16" i="13"/>
  <c r="C17" i="13"/>
  <c r="C15" i="13"/>
  <c r="L6" i="13"/>
  <c r="O4" i="13"/>
  <c r="O5" i="13"/>
  <c r="O7" i="13"/>
  <c r="O8" i="13"/>
  <c r="O10" i="13"/>
  <c r="C18" i="13"/>
  <c r="D15" i="13"/>
  <c r="L10" i="13" s="1"/>
  <c r="O6" i="13"/>
  <c r="AJ17" i="1"/>
  <c r="F14" i="13" s="1"/>
  <c r="AG17" i="1"/>
  <c r="F13" i="13" s="1"/>
  <c r="AD17" i="1"/>
  <c r="F12" i="13" s="1"/>
  <c r="AA17" i="1"/>
  <c r="F11" i="13" s="1"/>
  <c r="X17" i="1"/>
  <c r="F10" i="13" s="1"/>
  <c r="U17" i="1"/>
  <c r="F9" i="13" s="1"/>
  <c r="R17" i="1"/>
  <c r="F8" i="13" s="1"/>
  <c r="O17" i="1"/>
  <c r="F7" i="13" s="1"/>
  <c r="I17" i="1"/>
  <c r="F5" i="13" s="1"/>
  <c r="D17" i="13" l="1"/>
  <c r="L8" i="13"/>
  <c r="O11" i="13"/>
  <c r="F18" i="13"/>
  <c r="D16" i="13"/>
  <c r="J3" i="1"/>
  <c r="G3" i="1"/>
  <c r="M3" i="1"/>
  <c r="L17" i="1"/>
  <c r="F6" i="13" s="1"/>
  <c r="F17" i="1"/>
  <c r="F4" i="13" s="1"/>
  <c r="AB3" i="1" l="1"/>
  <c r="AE3" i="1"/>
  <c r="Y3" i="1"/>
  <c r="V3" i="1"/>
  <c r="AK3" i="1" l="1"/>
  <c r="P3" i="1" l="1"/>
  <c r="S3" i="1"/>
  <c r="AH3" i="1"/>
  <c r="C17" i="1" l="1"/>
  <c r="F3" i="13" s="1"/>
  <c r="F15" i="13" l="1"/>
  <c r="F16" i="13"/>
  <c r="F17" i="13"/>
  <c r="D3" i="1"/>
  <c r="D4" i="1" s="1"/>
  <c r="I3" i="13" s="1"/>
  <c r="H3" i="13" s="1"/>
  <c r="G4" i="1" l="1"/>
  <c r="I4" i="13" s="1"/>
  <c r="H4" i="13" s="1"/>
  <c r="J4" i="1" l="1"/>
  <c r="I5" i="13" s="1"/>
  <c r="H5" i="13" s="1"/>
  <c r="M4" i="1" l="1"/>
  <c r="I6" i="13" s="1"/>
  <c r="H6" i="13" l="1"/>
  <c r="P4" i="1"/>
  <c r="I7" i="13" s="1"/>
  <c r="H7" i="13" s="1"/>
  <c r="S4" i="1" l="1"/>
  <c r="I8" i="13" s="1"/>
  <c r="H8" i="13" l="1"/>
  <c r="V4" i="1"/>
  <c r="I9" i="13" s="1"/>
  <c r="H9" i="13" s="1"/>
  <c r="Y4" i="1" l="1"/>
  <c r="I10" i="13" s="1"/>
  <c r="H10" i="13" l="1"/>
  <c r="AB4" i="1"/>
  <c r="I11" i="13" s="1"/>
  <c r="H11" i="13" s="1"/>
  <c r="AE4" i="1" l="1"/>
  <c r="I12" i="13" s="1"/>
  <c r="H12" i="13" l="1"/>
  <c r="AH4" i="1"/>
  <c r="I13" i="13" s="1"/>
  <c r="H13" i="13" l="1"/>
  <c r="C3" i="12"/>
  <c r="C10" i="12" s="1"/>
  <c r="AK4" i="1"/>
  <c r="L9" i="13" l="1"/>
  <c r="I15" i="13" s="1"/>
  <c r="C12" i="12" s="1"/>
  <c r="I14" i="13"/>
  <c r="H1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<sst xmlns="http://schemas.openxmlformats.org/spreadsheetml/2006/main" count="103" uniqueCount="61">
  <si>
    <t>Mês</t>
  </si>
  <si>
    <t>Despesas</t>
  </si>
  <si>
    <t>Total</t>
  </si>
  <si>
    <t>Investimentos</t>
  </si>
  <si>
    <t>Saldo</t>
  </si>
  <si>
    <t xml:space="preserve">Total </t>
  </si>
  <si>
    <t>Média</t>
  </si>
  <si>
    <t>Despesas Fixas</t>
  </si>
  <si>
    <t>Total Geral</t>
  </si>
  <si>
    <t>Investimento</t>
  </si>
  <si>
    <t xml:space="preserve">Perdas </t>
  </si>
  <si>
    <t>Roupas</t>
  </si>
  <si>
    <t>Saldo Anual</t>
  </si>
  <si>
    <t>Rolê</t>
  </si>
  <si>
    <t>Outros</t>
  </si>
  <si>
    <t>Descrição</t>
  </si>
  <si>
    <t>Receita Bruta</t>
  </si>
  <si>
    <t>Receitas L.</t>
  </si>
  <si>
    <t>Receita Líquida</t>
  </si>
  <si>
    <t>Sld mês</t>
  </si>
  <si>
    <t>Desp. Gerais</t>
  </si>
  <si>
    <t>R. Líquida</t>
  </si>
  <si>
    <t>Farm. e Saúde.</t>
  </si>
  <si>
    <t>Cursos</t>
  </si>
  <si>
    <t>G. Resid.</t>
  </si>
  <si>
    <t>Eletron e Jogos</t>
  </si>
  <si>
    <t>Alimentação</t>
  </si>
  <si>
    <t>Entret e Livros</t>
  </si>
  <si>
    <t>Desp. Total</t>
  </si>
  <si>
    <t>Desp. Fixas</t>
  </si>
  <si>
    <t>Resultado - Total</t>
  </si>
  <si>
    <t>Valor</t>
  </si>
  <si>
    <t>Salário</t>
  </si>
  <si>
    <t>Carteira</t>
  </si>
  <si>
    <t>1º Sem.</t>
  </si>
  <si>
    <t>2º Sem.</t>
  </si>
  <si>
    <t>Banco 1</t>
  </si>
  <si>
    <t>Banco 2</t>
  </si>
  <si>
    <t>Data</t>
  </si>
  <si>
    <t>Categoria</t>
  </si>
  <si>
    <t>G. Gerais</t>
  </si>
  <si>
    <t xml:space="preserve"> </t>
  </si>
  <si>
    <t>Dízimo</t>
  </si>
  <si>
    <t>Receitas</t>
  </si>
  <si>
    <t>Perdas</t>
  </si>
  <si>
    <t>Vendas</t>
  </si>
  <si>
    <t>Inss</t>
  </si>
  <si>
    <t>T. Trans.</t>
  </si>
  <si>
    <t>Alocação</t>
  </si>
  <si>
    <t>CDB</t>
  </si>
  <si>
    <t>CDI</t>
  </si>
  <si>
    <t>Operação</t>
  </si>
  <si>
    <t>Cont. Dízimo</t>
  </si>
  <si>
    <t xml:space="preserve">Descrição </t>
  </si>
  <si>
    <t>Perdas Outros</t>
  </si>
  <si>
    <t>Transferir</t>
  </si>
  <si>
    <t>Sld. Atual</t>
  </si>
  <si>
    <t>Sld. Anual</t>
  </si>
  <si>
    <t>Sld. Real</t>
  </si>
  <si>
    <t>Novembro</t>
  </si>
  <si>
    <t>Diferença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</si>
</sst>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mmmm"/>
    <numFmt numFmtId="165" formatCode="dd/mm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omic Sans MS"/>
      <family val="4"/>
    </font>
    <font>
      <sz val="12"/>
      <color theme="1"/>
      <name val="Comic Sans MS"/>
      <family val="4"/>
    </font>
    <font>
      <sz val="12"/>
      <name val="Comic Sans MS"/>
      <family val="4"/>
    </font>
    <font>
      <sz val="10"/>
      <color theme="0"/>
      <name val="Comic Sans MS"/>
      <family val="4"/>
    </font>
    <font>
      <sz val="10"/>
      <color theme="1"/>
      <name val="Comic Sans MS"/>
      <family val="4"/>
    </font>
    <font>
      <sz val="10"/>
      <name val="Comic Sans MS"/>
      <family val="4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omic Sans MS"/>
      <family val="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theme="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6">
    <xf numFmtId="0" fontId="0" fillId="0" borderId="0" xfId="0"/>
    <xf numFmtId="0" fontId="0" fillId="2" borderId="0" xfId="0" applyFill="1"/>
    <xf numFmtId="0" fontId="2" fillId="2" borderId="1" xfId="0" applyFont="1" applyFill="1" applyBorder="1"/>
    <xf numFmtId="0" fontId="3" fillId="2" borderId="1" xfId="0" applyFont="1" applyFill="1" applyBorder="1"/>
    <xf numFmtId="44" fontId="2" fillId="2" borderId="1" xfId="1" applyFont="1" applyFill="1" applyBorder="1"/>
    <xf numFmtId="0" fontId="2" fillId="2" borderId="0" xfId="0" applyFont="1" applyFill="1"/>
    <xf numFmtId="0" fontId="4" fillId="3" borderId="1" xfId="0" applyFont="1" applyFill="1" applyBorder="1"/>
    <xf numFmtId="44" fontId="11" fillId="2" borderId="1" xfId="1" applyFont="1" applyFill="1" applyBorder="1"/>
    <xf numFmtId="0" fontId="10" fillId="2" borderId="0" xfId="0" applyFont="1" applyFill="1"/>
    <xf numFmtId="44" fontId="11" fillId="2" borderId="0" xfId="1" applyFont="1" applyFill="1" applyBorder="1"/>
    <xf numFmtId="0" fontId="10" fillId="2" borderId="9" xfId="0" applyFont="1" applyFill="1" applyBorder="1" applyAlignment="1">
      <alignment horizontal="center"/>
    </xf>
    <xf numFmtId="44" fontId="6" fillId="3" borderId="1" xfId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9" fillId="3" borderId="6" xfId="0" applyFont="1" applyFill="1" applyBorder="1" applyAlignment="1">
      <alignment horizontal="center"/>
    </xf>
    <xf numFmtId="44" fontId="10" fillId="2" borderId="0" xfId="1" applyFont="1" applyFill="1" applyBorder="1" applyAlignment="1">
      <alignment horizontal="center"/>
    </xf>
    <xf numFmtId="44" fontId="10" fillId="2" borderId="0" xfId="0" applyNumberFormat="1" applyFont="1" applyFill="1" applyAlignment="1">
      <alignment horizontal="center"/>
    </xf>
    <xf numFmtId="0" fontId="9" fillId="3" borderId="7" xfId="0" applyFont="1" applyFill="1" applyBorder="1" applyAlignment="1">
      <alignment horizontal="center"/>
    </xf>
    <xf numFmtId="44" fontId="10" fillId="2" borderId="0" xfId="0" applyNumberFormat="1" applyFont="1" applyFill="1"/>
    <xf numFmtId="0" fontId="9" fillId="3" borderId="8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44" fontId="10" fillId="2" borderId="10" xfId="0" applyNumberFormat="1" applyFont="1" applyFill="1" applyBorder="1" applyAlignment="1">
      <alignment horizontal="center"/>
    </xf>
    <xf numFmtId="44" fontId="10" fillId="2" borderId="11" xfId="1" applyFont="1" applyFill="1" applyBorder="1" applyAlignment="1">
      <alignment horizontal="center"/>
    </xf>
    <xf numFmtId="44" fontId="10" fillId="2" borderId="10" xfId="1" applyFont="1" applyFill="1" applyBorder="1" applyAlignment="1">
      <alignment horizontal="center"/>
    </xf>
    <xf numFmtId="44" fontId="10" fillId="2" borderId="11" xfId="0" applyNumberFormat="1" applyFont="1" applyFill="1" applyBorder="1" applyAlignment="1">
      <alignment horizontal="center"/>
    </xf>
    <xf numFmtId="44" fontId="10" fillId="2" borderId="2" xfId="0" applyNumberFormat="1" applyFont="1" applyFill="1" applyBorder="1" applyAlignment="1">
      <alignment horizontal="center"/>
    </xf>
    <xf numFmtId="44" fontId="10" fillId="2" borderId="3" xfId="0" applyNumberFormat="1" applyFont="1" applyFill="1" applyBorder="1" applyAlignment="1">
      <alignment horizontal="center"/>
    </xf>
    <xf numFmtId="44" fontId="10" fillId="2" borderId="6" xfId="1" applyFont="1" applyFill="1" applyBorder="1" applyAlignment="1">
      <alignment horizontal="center"/>
    </xf>
    <xf numFmtId="44" fontId="10" fillId="2" borderId="6" xfId="1" applyFont="1" applyFill="1" applyBorder="1" applyAlignment="1"/>
    <xf numFmtId="44" fontId="10" fillId="2" borderId="6" xfId="0" applyNumberFormat="1" applyFont="1" applyFill="1" applyBorder="1"/>
    <xf numFmtId="44" fontId="10" fillId="2" borderId="7" xfId="0" applyNumberFormat="1" applyFont="1" applyFill="1" applyBorder="1"/>
    <xf numFmtId="0" fontId="10" fillId="2" borderId="2" xfId="0" applyFont="1" applyFill="1" applyBorder="1" applyAlignment="1">
      <alignment horizontal="center"/>
    </xf>
    <xf numFmtId="44" fontId="10" fillId="2" borderId="1" xfId="1" applyFont="1" applyFill="1" applyBorder="1"/>
    <xf numFmtId="44" fontId="10" fillId="2" borderId="0" xfId="1" applyFont="1" applyFill="1" applyBorder="1"/>
    <xf numFmtId="44" fontId="2" fillId="2" borderId="0" xfId="1" applyFont="1" applyFill="1" applyBorder="1"/>
    <xf numFmtId="0" fontId="2" fillId="2" borderId="0" xfId="1" applyNumberFormat="1" applyFont="1" applyFill="1" applyBorder="1" applyAlignment="1">
      <alignment horizontal="center"/>
    </xf>
    <xf numFmtId="0" fontId="2" fillId="2" borderId="0" xfId="1" applyNumberFormat="1" applyFont="1" applyFill="1" applyBorder="1"/>
    <xf numFmtId="0" fontId="2" fillId="2" borderId="0" xfId="0" applyFont="1" applyFill="1" applyAlignment="1">
      <alignment horizontal="center"/>
    </xf>
    <xf numFmtId="44" fontId="2" fillId="2" borderId="0" xfId="0" applyNumberFormat="1" applyFont="1" applyFill="1"/>
    <xf numFmtId="0" fontId="13" fillId="2" borderId="0" xfId="0" applyFont="1" applyFill="1" applyAlignment="1">
      <alignment horizontal="center"/>
    </xf>
    <xf numFmtId="0" fontId="8" fillId="2" borderId="0" xfId="1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44" fontId="8" fillId="2" borderId="0" xfId="1" applyFont="1" applyFill="1" applyBorder="1" applyAlignment="1">
      <alignment horizontal="center"/>
    </xf>
    <xf numFmtId="44" fontId="2" fillId="2" borderId="0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44" fontId="2" fillId="2" borderId="1" xfId="0" applyNumberFormat="1" applyFont="1" applyFill="1" applyBorder="1"/>
    <xf numFmtId="0" fontId="6" fillId="3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44" fontId="10" fillId="2" borderId="1" xfId="1" applyFont="1" applyFill="1" applyBorder="1" applyAlignment="1">
      <alignment vertical="center"/>
    </xf>
    <xf numFmtId="0" fontId="11" fillId="2" borderId="1" xfId="0" applyFont="1" applyFill="1" applyBorder="1"/>
    <xf numFmtId="44" fontId="14" fillId="2" borderId="0" xfId="1" applyFont="1" applyFill="1" applyBorder="1"/>
    <xf numFmtId="0" fontId="6" fillId="2" borderId="0" xfId="1" applyNumberFormat="1" applyFont="1" applyFill="1" applyBorder="1" applyAlignment="1">
      <alignment horizontal="center" vertical="center" wrapText="1"/>
    </xf>
    <xf numFmtId="0" fontId="4" fillId="2" borderId="0" xfId="0" applyFont="1" applyFill="1"/>
    <xf numFmtId="44" fontId="4" fillId="2" borderId="0" xfId="1" applyFont="1" applyFill="1" applyBorder="1"/>
    <xf numFmtId="14" fontId="6" fillId="3" borderId="1" xfId="0" applyNumberFormat="1" applyFont="1" applyFill="1" applyBorder="1" applyAlignment="1">
      <alignment horizontal="center" vertical="center"/>
    </xf>
    <xf numFmtId="44" fontId="4" fillId="3" borderId="1" xfId="1" applyFont="1" applyFill="1" applyBorder="1"/>
    <xf numFmtId="0" fontId="9" fillId="3" borderId="9" xfId="0" applyFont="1" applyFill="1" applyBorder="1" applyAlignment="1">
      <alignment horizontal="center"/>
    </xf>
    <xf numFmtId="44" fontId="9" fillId="3" borderId="9" xfId="1" applyFont="1" applyFill="1" applyBorder="1" applyAlignment="1">
      <alignment horizontal="center" vertical="center"/>
    </xf>
    <xf numFmtId="0" fontId="6" fillId="2" borderId="12" xfId="1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right"/>
    </xf>
    <xf numFmtId="0" fontId="11" fillId="2" borderId="0" xfId="1" applyNumberFormat="1" applyFont="1" applyFill="1" applyBorder="1" applyAlignment="1">
      <alignment horizontal="center"/>
    </xf>
    <xf numFmtId="44" fontId="6" fillId="3" borderId="1" xfId="1" applyFont="1" applyFill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44" fontId="9" fillId="0" borderId="0" xfId="1" applyFont="1" applyFill="1" applyAlignment="1">
      <alignment horizontal="center"/>
    </xf>
    <xf numFmtId="44" fontId="15" fillId="2" borderId="1" xfId="1" applyFont="1" applyFill="1" applyBorder="1"/>
    <xf numFmtId="165" fontId="11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44" fontId="11" fillId="0" borderId="0" xfId="1" applyFont="1" applyFill="1" applyAlignment="1">
      <alignment horizontal="center"/>
    </xf>
    <xf numFmtId="0" fontId="11" fillId="0" borderId="0" xfId="0" applyFont="1" applyAlignment="1">
      <alignment horizontal="left"/>
    </xf>
    <xf numFmtId="0" fontId="11" fillId="2" borderId="0" xfId="0" applyFont="1" applyFill="1" applyAlignment="1">
      <alignment horizontal="center"/>
    </xf>
    <xf numFmtId="44" fontId="11" fillId="2" borderId="0" xfId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left"/>
    </xf>
    <xf numFmtId="44" fontId="11" fillId="2" borderId="0" xfId="1" applyFont="1" applyFill="1" applyBorder="1" applyAlignment="1">
      <alignment horizontal="center"/>
    </xf>
    <xf numFmtId="44" fontId="11" fillId="2" borderId="0" xfId="0" applyNumberFormat="1" applyFont="1" applyFill="1" applyAlignment="1">
      <alignment horizontal="left"/>
    </xf>
    <xf numFmtId="165" fontId="11" fillId="2" borderId="0" xfId="0" applyNumberFormat="1" applyFont="1" applyFill="1"/>
    <xf numFmtId="164" fontId="8" fillId="2" borderId="1" xfId="0" applyNumberFormat="1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10" fillId="2" borderId="10" xfId="0" applyFont="1" applyFill="1" applyBorder="1"/>
    <xf numFmtId="0" fontId="10" fillId="2" borderId="2" xfId="0" applyFont="1" applyFill="1" applyBorder="1"/>
    <xf numFmtId="0" fontId="11" fillId="2" borderId="10" xfId="0" applyFont="1" applyFill="1" applyBorder="1"/>
    <xf numFmtId="44" fontId="11" fillId="2" borderId="11" xfId="0" applyNumberFormat="1" applyFont="1" applyFill="1" applyBorder="1" applyAlignment="1">
      <alignment horizontal="center"/>
    </xf>
    <xf numFmtId="44" fontId="10" fillId="2" borderId="3" xfId="0" applyNumberFormat="1" applyFont="1" applyFill="1" applyBorder="1"/>
    <xf numFmtId="44" fontId="2" fillId="2" borderId="0" xfId="1" applyFont="1" applyFill="1"/>
    <xf numFmtId="44" fontId="11" fillId="0" borderId="0" xfId="1" quotePrefix="1" applyFont="1" applyFill="1" applyAlignment="1">
      <alignment horizontal="center"/>
    </xf>
    <xf numFmtId="165" fontId="9" fillId="4" borderId="1" xfId="0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/>
    </xf>
    <xf numFmtId="44" fontId="4" fillId="3" borderId="1" xfId="1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16"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5" formatCode="dd/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Comic Sans MS"/>
        <family val="4"/>
        <scheme val="none"/>
      </font>
      <fill>
        <patternFill patternType="none">
          <fgColor indexed="64"/>
          <bgColor auto="1"/>
        </patternFill>
      </fill>
    </dxf>
    <dxf>
      <fill>
        <patternFill>
          <bgColor theme="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/>
        <top/>
        <bottom/>
        <vertical/>
        <horizontal/>
      </border>
    </dxf>
  </dxfs>
  <tableStyles count="2" defaultTableStyle="TableStyleMedium9" defaultPivotStyle="PivotStyleLight16">
    <tableStyle name="Tracking table" pivot="0" count="0" xr9:uid="{88815A96-0DF6-4017-8492-6A879ED5C492}"/>
    <tableStyle name="Tracking Table 1" pivot="0" count="2" xr9:uid="{E8395723-409A-4BE8-B2D2-23E4458724D1}">
      <tableStyleElement type="wholeTable" dxfId="15"/>
      <tableStyleElement type="headerRow" dxfId="14"/>
    </tableStyle>
  </tableStyles>
  <colors>
    <mruColors>
      <color rgb="FFFF0000"/>
      <color rgb="FFFF6600"/>
      <color rgb="FFFFFF00"/>
      <color rgb="FF212296"/>
      <color rgb="FFF78009"/>
      <color rgb="FFFD8D81"/>
      <color rgb="FF77B1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3.8790629246823846E-2"/>
          <c:w val="1"/>
          <c:h val="0.70338648746368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'Saldo &amp; Mov.'!$E$4</c:f>
              <c:strCache>
                <c:ptCount val="1"/>
                <c:pt idx="0">
                  <c:v>Alimentação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Mov.'!$F$4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2-4950-87A0-ABDC1D20D3E7}"/>
            </c:ext>
          </c:extLst>
        </c:ser>
        <c:ser>
          <c:idx val="1"/>
          <c:order val="1"/>
          <c:tx>
            <c:strRef>
              <c:f>'Saldo &amp; Mov.'!$E$5</c:f>
              <c:strCache>
                <c:ptCount val="1"/>
                <c:pt idx="0">
                  <c:v>G. Resid.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Mov.'!$F$5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32-4950-87A0-ABDC1D20D3E7}"/>
            </c:ext>
          </c:extLst>
        </c:ser>
        <c:ser>
          <c:idx val="2"/>
          <c:order val="2"/>
          <c:tx>
            <c:strRef>
              <c:f>'Saldo &amp; Mov.'!$E$6</c:f>
              <c:strCache>
                <c:ptCount val="1"/>
                <c:pt idx="0">
                  <c:v>Eletron e Jogos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Mov.'!$F$6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32-4950-87A0-ABDC1D20D3E7}"/>
            </c:ext>
          </c:extLst>
        </c:ser>
        <c:ser>
          <c:idx val="3"/>
          <c:order val="3"/>
          <c:tx>
            <c:strRef>
              <c:f>'Saldo &amp; Mov.'!$E$7</c:f>
              <c:strCache>
                <c:ptCount val="1"/>
                <c:pt idx="0">
                  <c:v>Cursos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Mov.'!$F$7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32-4950-87A0-ABDC1D20D3E7}"/>
            </c:ext>
          </c:extLst>
        </c:ser>
        <c:ser>
          <c:idx val="4"/>
          <c:order val="4"/>
          <c:tx>
            <c:strRef>
              <c:f>'Saldo &amp; Mov.'!$E$8</c:f>
              <c:strCache>
                <c:ptCount val="1"/>
                <c:pt idx="0">
                  <c:v>Farm. e Saúde.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Mov.'!$F$8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32-4950-87A0-ABDC1D20D3E7}"/>
            </c:ext>
          </c:extLst>
        </c:ser>
        <c:ser>
          <c:idx val="5"/>
          <c:order val="5"/>
          <c:tx>
            <c:strRef>
              <c:f>'Saldo &amp; Mov.'!$E$9</c:f>
              <c:strCache>
                <c:ptCount val="1"/>
                <c:pt idx="0">
                  <c:v>Entret e Livros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Mov.'!$F$9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32-4950-87A0-ABDC1D20D3E7}"/>
            </c:ext>
          </c:extLst>
        </c:ser>
        <c:ser>
          <c:idx val="6"/>
          <c:order val="6"/>
          <c:tx>
            <c:strRef>
              <c:f>'Saldo &amp; Mov.'!$E$10</c:f>
              <c:strCache>
                <c:ptCount val="1"/>
                <c:pt idx="0">
                  <c:v>Rolê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</a:schemeClr>
                </a:gs>
                <a:gs pos="75000">
                  <a:schemeClr val="accent1">
                    <a:lumMod val="60000"/>
                    <a:lumMod val="60000"/>
                    <a:lumOff val="40000"/>
                  </a:schemeClr>
                </a:gs>
                <a:gs pos="51000">
                  <a:schemeClr val="accent1">
                    <a:lumMod val="60000"/>
                    <a:alpha val="75000"/>
                  </a:schemeClr>
                </a:gs>
                <a:gs pos="100000">
                  <a:schemeClr val="accent1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Mov.'!$F$10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32-4950-87A0-ABDC1D20D3E7}"/>
            </c:ext>
          </c:extLst>
        </c:ser>
        <c:ser>
          <c:idx val="7"/>
          <c:order val="7"/>
          <c:tx>
            <c:strRef>
              <c:f>'Saldo &amp; Mov.'!$E$11</c:f>
              <c:strCache>
                <c:ptCount val="1"/>
                <c:pt idx="0">
                  <c:v>Roupas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60000"/>
                  </a:schemeClr>
                </a:gs>
                <a:gs pos="75000">
                  <a:schemeClr val="accent2">
                    <a:lumMod val="60000"/>
                    <a:lumMod val="60000"/>
                    <a:lumOff val="40000"/>
                  </a:schemeClr>
                </a:gs>
                <a:gs pos="51000">
                  <a:schemeClr val="accent2">
                    <a:lumMod val="60000"/>
                    <a:alpha val="75000"/>
                  </a:schemeClr>
                </a:gs>
                <a:gs pos="100000">
                  <a:schemeClr val="accent2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Mov.'!$F$11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32-4950-87A0-ABDC1D20D3E7}"/>
            </c:ext>
          </c:extLst>
        </c:ser>
        <c:ser>
          <c:idx val="8"/>
          <c:order val="8"/>
          <c:tx>
            <c:strRef>
              <c:f>'Saldo &amp; Mov.'!$E$12</c:f>
              <c:strCache>
                <c:ptCount val="1"/>
                <c:pt idx="0">
                  <c:v>G. Gerais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60000"/>
                  </a:schemeClr>
                </a:gs>
                <a:gs pos="75000">
                  <a:schemeClr val="accent3">
                    <a:lumMod val="60000"/>
                    <a:lumMod val="60000"/>
                    <a:lumOff val="40000"/>
                  </a:schemeClr>
                </a:gs>
                <a:gs pos="51000">
                  <a:schemeClr val="accent3">
                    <a:lumMod val="60000"/>
                    <a:alpha val="75000"/>
                  </a:schemeClr>
                </a:gs>
                <a:gs pos="100000">
                  <a:schemeClr val="accent3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'Saldo &amp; Mov.'!$F$3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'Saldo &amp; Mov.'!$F$12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32-4950-87A0-ABDC1D20D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125500831"/>
        <c:axId val="1885921055"/>
      </c:barChart>
      <c:catAx>
        <c:axId val="212550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5921055"/>
        <c:crosses val="autoZero"/>
        <c:auto val="1"/>
        <c:lblAlgn val="ctr"/>
        <c:lblOffset val="100"/>
        <c:noMultiLvlLbl val="0"/>
      </c:catAx>
      <c:valAx>
        <c:axId val="1885921055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2550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3642516069788808"/>
          <c:w val="1"/>
          <c:h val="0.163574839302112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646498926696876E-2"/>
          <c:y val="4.2005550024641049E-2"/>
          <c:w val="0.89399291998139097"/>
          <c:h val="0.80021675304815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- Anual'!$C$2</c:f>
              <c:strCache>
                <c:ptCount val="1"/>
                <c:pt idx="0">
                  <c:v>R. Líquida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'Gráfico - Anual'!$A$3:$A$14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- Anual'!$C$3:$C$14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1-4C5F-8E3C-CD0002F93C64}"/>
            </c:ext>
          </c:extLst>
        </c:ser>
        <c:ser>
          <c:idx val="2"/>
          <c:order val="2"/>
          <c:tx>
            <c:strRef>
              <c:f>'Gráfico - Anual'!$F$2</c:f>
              <c:strCache>
                <c:ptCount val="1"/>
                <c:pt idx="0">
                  <c:v>Despesas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- Anual'!$A$3:$A$14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- Anual'!$F$3:$F$14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1-4C5F-8E3C-CD0002F9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90393455"/>
        <c:axId val="586649311"/>
      </c:barChart>
      <c:lineChart>
        <c:grouping val="standard"/>
        <c:varyColors val="0"/>
        <c:ser>
          <c:idx val="1"/>
          <c:order val="1"/>
          <c:tx>
            <c:strRef>
              <c:f>'Gráfico - Anual'!$D$2</c:f>
              <c:strCache>
                <c:ptCount val="1"/>
                <c:pt idx="0">
                  <c:v>Investimentos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'Gráfico - Anual'!$A$3:$A$14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- Anual'!$D$3:$D$14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91-4C5F-8E3C-CD0002F9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393455"/>
        <c:axId val="586649311"/>
      </c:lineChart>
      <c:catAx>
        <c:axId val="59039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649311"/>
        <c:crosses val="autoZero"/>
        <c:auto val="1"/>
        <c:lblAlgn val="ctr"/>
        <c:lblOffset val="100"/>
        <c:noMultiLvlLbl val="0"/>
      </c:catAx>
      <c:valAx>
        <c:axId val="58664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39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'Gráfico - Anual'!$K$2:$K$10</c15:sqref>
                  </c15:fullRef>
                </c:ext>
              </c:extLst>
              <c:f>('Gráfico - Anual'!$K$3:$K$7,'Gráfico - Anual'!$K$10)</c:f>
              <c:strCache>
                <c:ptCount val="6"/>
                <c:pt idx="0">
                  <c:v>Receita Bruta</c:v>
                </c:pt>
                <c:pt idx="1">
                  <c:v>Perdas </c:v>
                </c:pt>
                <c:pt idx="2">
                  <c:v>Receita Líquida</c:v>
                </c:pt>
                <c:pt idx="3">
                  <c:v>Desp. Fixas</c:v>
                </c:pt>
                <c:pt idx="4">
                  <c:v>Desp. Gerais</c:v>
                </c:pt>
                <c:pt idx="5">
                  <c:v>Investimento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- Anual'!$L$2:$L$10</c15:sqref>
                  </c15:fullRef>
                </c:ext>
              </c:extLst>
              <c:f>('Gráfico - Anual'!$L$3:$L$7,'Gráfico - Anual'!$L$10)</c:f>
              <c:numCache>
                <c:formatCode>_("R$"* #,##0.00_);_("R$"* \(#,##0.00\);_("R$"* "-"??_);_(@_)</c:formatCode>
                <c:ptCount val="6"/>
                <c:pt idx="0">
                  <c:v>150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5-4794-9E2F-2E3C31013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6559"/>
        <c:axId val="679944159"/>
      </c:barChart>
      <c:catAx>
        <c:axId val="67994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44159"/>
        <c:crosses val="autoZero"/>
        <c:auto val="1"/>
        <c:lblAlgn val="ctr"/>
        <c:lblOffset val="100"/>
        <c:noMultiLvlLbl val="0"/>
      </c:catAx>
      <c:valAx>
        <c:axId val="6799441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994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'Gráfico - Anual'!$N$2:$N$11</c15:sqref>
                  </c15:fullRef>
                </c:ext>
              </c:extLst>
              <c:f>'Gráfico - Anual'!$N$3:$N$10</c:f>
              <c:strCache>
                <c:ptCount val="8"/>
                <c:pt idx="0">
                  <c:v>Alimentação</c:v>
                </c:pt>
                <c:pt idx="1">
                  <c:v>G. Resid.</c:v>
                </c:pt>
                <c:pt idx="2">
                  <c:v>Eletron e Jogos</c:v>
                </c:pt>
                <c:pt idx="3">
                  <c:v>Cursos</c:v>
                </c:pt>
                <c:pt idx="4">
                  <c:v>Farm. e Saúde.</c:v>
                </c:pt>
                <c:pt idx="5">
                  <c:v>Entret e Livros</c:v>
                </c:pt>
                <c:pt idx="6">
                  <c:v>Rolê</c:v>
                </c:pt>
                <c:pt idx="7">
                  <c:v>Roupas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- Anual'!$O$2:$O$11</c15:sqref>
                  </c15:fullRef>
                </c:ext>
              </c:extLst>
              <c:f>'Gráfico - Anual'!$O$3:$O$10</c:f>
              <c:numCache>
                <c:formatCode>_("R$"* #,##0.00_);_("R$"* \(#,##0.00\);_("R$"*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2-45E9-AD95-0F551541B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0799"/>
        <c:axId val="679938399"/>
      </c:barChart>
      <c:catAx>
        <c:axId val="67994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38399"/>
        <c:crosses val="autoZero"/>
        <c:auto val="1"/>
        <c:lblAlgn val="ctr"/>
        <c:lblOffset val="100"/>
        <c:noMultiLvlLbl val="0"/>
      </c:catAx>
      <c:valAx>
        <c:axId val="6799383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99407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999233</xdr:colOff>
      <xdr:row>1</xdr:row>
      <xdr:rowOff>0</xdr:rowOff>
    </xdr:from>
    <xdr:to>
      <xdr:col>7</xdr:col>
      <xdr:colOff>2261402</xdr:colOff>
      <xdr:row>13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91BF35-A245-4C59-B241-9CB6ACA79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6329</xdr:colOff>
      <xdr:row>0</xdr:row>
      <xdr:rowOff>8168</xdr:rowOff>
    </xdr:from>
    <xdr:to>
      <xdr:col>10</xdr:col>
      <xdr:colOff>598842</xdr:colOff>
      <xdr:row>26</xdr:row>
      <xdr:rowOff>88936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BB5BA1-CE3F-4E37-934C-7DCBD3FD3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595608</xdr:colOff>
      <xdr:row>0</xdr:row>
      <xdr:rowOff>0</xdr:rowOff>
    </xdr:from>
    <xdr:to>
      <xdr:col>16</xdr:col>
      <xdr:colOff>42300</xdr:colOff>
      <xdr:row>13</xdr:row>
      <xdr:rowOff>8697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CC7714-0040-4DC7-978A-7BFFC7D523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595979</xdr:colOff>
      <xdr:row>13</xdr:row>
      <xdr:rowOff>16383</xdr:rowOff>
    </xdr:from>
    <xdr:to>
      <xdr:col>16</xdr:col>
      <xdr:colOff>42671</xdr:colOff>
      <xdr:row>26</xdr:row>
      <xdr:rowOff>87585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8DE9EA-0077-471B-9A96-00B75572E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BA625-5E32-4F47-8323-C47308DEF24A}" name="Tabela1" displayName="Tabela1" ref="B15:H19" insertRowShift="1" totalsRowShown="0" headerRowDxfId="13" dataDxfId="12">
  <autoFilter ref="B15:H19" xr:uid="{739BA625-5E32-4F47-8323-C47308DEF24A}"/>
  <sortState xmlns:xlrd2="http://schemas.microsoft.com/office/spreadsheetml/2017/richdata2" ref="B16:H28">
    <sortCondition ref="B15:B28"/>
  </sortState>
  <tableColumns count="7">
    <tableColumn id="1" xr3:uid="{F0A7AC4E-C2B6-48F0-8ABD-146393E8FC69}" name="Data" dataDxfId="11"/>
    <tableColumn id="2" xr3:uid="{684795FD-753E-4C1F-B63E-5EE124E9D624}" name="Mês" dataDxfId="10">
      <calculatedColumnFormula>IF(ISBLANK(B16),"",PROPER(TEXT(B16,"MMMM")))</calculatedColumnFormula>
    </tableColumn>
    <tableColumn id="6" xr3:uid="{23818CCC-08C7-4066-9B86-98D831460C75}" name="Operação" dataDxfId="9"/>
    <tableColumn id="3" xr3:uid="{78815540-1C3C-4370-A3E4-1C8E033CFC39}" name="Categoria" dataDxfId="8"/>
    <tableColumn id="7" xr3:uid="{F153B94E-6C60-4C63-A86C-8519A94E1F13}" name="Alocação" dataDxfId="7"/>
    <tableColumn id="4" xr3:uid="{EE54C9A2-2D53-4D6A-93DF-88B691A8C3D9}" name="Valor" dataDxfId="6"/>
    <tableColumn id="5" xr3:uid="{28149A80-D409-4A63-B4C2-6EDA92C21F54}" name="Descrição" dataDxfId="5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935C-8656-4D81-89AE-9797F0D184CE}">
  <sheetPr codeName="Planilha1">
    <tabColor theme="0"/>
  </sheetPr>
  <dimension ref="A1:I555"/>
  <sheetViews>
    <sheetView tabSelected="1" zoomScale="135" zoomScaleNormal="135" workbookViewId="0">
      <pane ySplit="15" topLeftCell="A16" activePane="bottomLeft" state="frozen"/>
      <selection pane="bottomLeft" activeCell="B19" sqref="B19"/>
    </sheetView>
  </sheetViews>
  <sheetFormatPr defaultRowHeight="15" x14ac:dyDescent="0.3"/>
  <cols>
    <col min="1" max="1" width="6" style="80" customWidth="1"/>
    <col min="2" max="2" width="11.42578125" style="83" customWidth="1"/>
    <col min="3" max="4" width="15.7109375" style="82" customWidth="1"/>
    <col min="5" max="5" width="15.7109375" style="80" customWidth="1"/>
    <col min="6" max="6" width="14.28515625" style="80" customWidth="1"/>
    <col min="7" max="7" width="17.140625" style="81" customWidth="1"/>
    <col min="8" max="8" width="35.7109375" style="84" customWidth="1"/>
    <col min="9" max="9" width="6" style="80" customWidth="1"/>
    <col min="10" max="10" width="10" style="80" customWidth="1"/>
    <col min="11" max="16384" width="9.140625" style="80"/>
  </cols>
  <sheetData>
    <row r="1" spans="1:8" ht="10.7" customHeight="1" x14ac:dyDescent="0.3"/>
    <row r="2" spans="1:8" ht="14.3" customHeight="1" x14ac:dyDescent="0.3">
      <c r="B2" s="100" t="s">
        <v>0</v>
      </c>
      <c r="C2" s="100" t="s">
        <v>59</v>
      </c>
    </row>
    <row r="3" spans="1:8" ht="14.3" customHeight="1" x14ac:dyDescent="0.3">
      <c r="B3" s="57" t="s">
        <v>4</v>
      </c>
      <c r="C3" s="56">
        <f>VLOOKUP(C2,'Gráfico - Anual'!A3:I14,9,FALSE)</f>
        <v>100</v>
      </c>
      <c r="E3" s="5" t="s">
        <v>53</v>
      </c>
      <c r="F3" s="98" t="s">
        <v>31</v>
      </c>
      <c r="H3" s="80"/>
    </row>
    <row r="4" spans="1:8" ht="14.3" customHeight="1" x14ac:dyDescent="0.3">
      <c r="B4" s="57" t="s">
        <v>1</v>
      </c>
      <c r="C4" s="56">
        <f>SUM(F4:F14)</f>
        <v>0</v>
      </c>
      <c r="E4" s="5" t="str" cm="1">
        <f t="array" ref="E4:E12">Categorias</f>
        <v>Alimentação</v>
      </c>
      <c r="F4" s="98" cm="1">
        <f t="array" ref="F4:F12">_xlfn._xlws.FILTER('Despesas - Mapa'!D7:AK15,'Despesas - Mapa'!D2:AK2=C2)</f>
        <v>0</v>
      </c>
      <c r="H4" s="80"/>
    </row>
    <row r="5" spans="1:8" ht="14.3" customHeight="1" x14ac:dyDescent="0.3">
      <c r="E5" s="5" t="str">
        <v>G. Resid.</v>
      </c>
      <c r="F5" s="98">
        <v>0</v>
      </c>
      <c r="H5" s="80"/>
    </row>
    <row r="6" spans="1:8" ht="14.3" customHeight="1" x14ac:dyDescent="0.3">
      <c r="B6" s="57" t="s">
        <v>36</v>
      </c>
      <c r="C6" s="7" cm="1">
        <f t="array" aca="1" ref="C6" ca="1">SUM(SUMIFS(Tabela1[Valor],Tabela1[Operação],{"Receitas";"Transferir"},Tabela1[Alocação],B6,Tabela1[Data],"&lt;="&amp;(TODAY())))-SUMIFS(Tabela1[Valor],Tabela1[Operação],"&lt;&gt;Receitas",Tabela1[Operação],"&lt;&gt;Transferir",Tabela1[Alocação],B6,Tabela1[Data],"&lt;="&amp;(TODAY())) - SUMIFS(Tabela1[Valor],Tabela1[Categoria],B6,Tabela1[Data],"&lt;="&amp;(TODAY()))</f>
        <v>100</v>
      </c>
      <c r="E6" s="5" t="str">
        <v>Eletron e Jogos</v>
      </c>
      <c r="F6" s="98">
        <v>0</v>
      </c>
      <c r="H6" s="80"/>
    </row>
    <row r="7" spans="1:8" ht="14.3" customHeight="1" x14ac:dyDescent="0.3">
      <c r="B7" s="57" t="s">
        <v>37</v>
      </c>
      <c r="C7" s="7" cm="1">
        <f t="array" aca="1" ref="C7" ca="1">SUM(SUMIFS(Tabela1[Valor],Tabela1[Operação],{"Receitas";"Transferir"},Tabela1[Alocação],B7,Tabela1[Data],"&lt;="&amp;(TODAY())))-SUMIFS(Tabela1[Valor],Tabela1[Operação],"&lt;&gt;Receitas",Tabela1[Operação],"&lt;&gt;Transferir",Tabela1[Alocação],B7,Tabela1[Data],"&lt;="&amp;(TODAY())) - SUMIFS(Tabela1[Valor],Tabela1[Categoria],B7,Tabela1[Data],"&lt;="&amp;(TODAY()))</f>
        <v>0</v>
      </c>
      <c r="E7" s="5" t="str">
        <v>Cursos</v>
      </c>
      <c r="F7" s="98">
        <v>0</v>
      </c>
      <c r="H7" s="80"/>
    </row>
    <row r="8" spans="1:8" ht="14.3" customHeight="1" x14ac:dyDescent="0.3">
      <c r="B8" s="57" t="s">
        <v>33</v>
      </c>
      <c r="C8" s="7" cm="1">
        <f t="array" aca="1" ref="C8" ca="1">SUM(SUMIFS(Tabela1[Valor],Tabela1[Operação],{"Receitas";"Transferir"},Tabela1[Alocação],B8,Tabela1[Data],"&lt;="&amp;(TODAY())))-SUMIFS(Tabela1[Valor],Tabela1[Operação],"&lt;&gt;Receitas",Tabela1[Operação],"&lt;&gt;Transferir",Tabela1[Alocação],B8,Tabela1[Data],"&lt;="&amp;(TODAY())) - SUMIFS(Tabela1[Valor],Tabela1[Categoria],B8,Tabela1[Data],"&lt;="&amp;(TODAY()))</f>
        <v>0</v>
      </c>
      <c r="E8" s="5" t="str">
        <v>Farm. e Saúde.</v>
      </c>
      <c r="F8" s="98">
        <v>0</v>
      </c>
      <c r="H8" s="80"/>
    </row>
    <row r="9" spans="1:8" ht="14.3" customHeight="1" x14ac:dyDescent="0.3">
      <c r="B9" s="57" t="s">
        <v>58</v>
      </c>
      <c r="C9" s="7">
        <f ca="1">SUM(C6:C8)</f>
        <v>100</v>
      </c>
      <c r="E9" s="5" t="str">
        <v>Entret e Livros</v>
      </c>
      <c r="F9" s="98">
        <v>0</v>
      </c>
      <c r="H9" s="80"/>
    </row>
    <row r="10" spans="1:8" ht="14.3" customHeight="1" x14ac:dyDescent="0.3">
      <c r="A10" s="82"/>
      <c r="B10" s="57" t="s">
        <v>60</v>
      </c>
      <c r="C10" s="56">
        <f ca="1">C3-C9</f>
        <v>0</v>
      </c>
      <c r="E10" s="5" t="str">
        <v>Rolê</v>
      </c>
      <c r="F10" s="98">
        <v>0</v>
      </c>
      <c r="H10" s="80"/>
    </row>
    <row r="11" spans="1:8" ht="14.3" customHeight="1" x14ac:dyDescent="0.3">
      <c r="A11" s="82"/>
      <c r="E11" s="5" t="str">
        <v>Roupas</v>
      </c>
      <c r="F11" s="98">
        <v>0</v>
      </c>
      <c r="H11" s="80"/>
    </row>
    <row r="12" spans="1:8" ht="14.3" customHeight="1" x14ac:dyDescent="0.3">
      <c r="A12" s="82"/>
      <c r="B12" s="100" t="s">
        <v>57</v>
      </c>
      <c r="C12" s="56">
        <f>'Gráfico - Anual'!I15</f>
        <v>100</v>
      </c>
      <c r="E12" s="5" t="str">
        <v>G. Gerais</v>
      </c>
      <c r="F12" s="98">
        <v>0</v>
      </c>
      <c r="H12" s="80"/>
    </row>
    <row r="13" spans="1:8" ht="14.3" customHeight="1" x14ac:dyDescent="0.3">
      <c r="B13" s="80"/>
      <c r="C13" s="80"/>
      <c r="E13" s="82"/>
      <c r="H13" s="80"/>
    </row>
    <row r="14" spans="1:8" ht="14.3" customHeight="1" x14ac:dyDescent="0.3">
      <c r="A14" s="67"/>
      <c r="B14" s="68">
        <f>SUBTOTAL(2,Tabela1[Data])</f>
        <v>3</v>
      </c>
      <c r="H14" s="80"/>
    </row>
    <row r="15" spans="1:8" ht="14.3" customHeight="1" x14ac:dyDescent="0.3">
      <c r="B15" s="70" t="s">
        <v>38</v>
      </c>
      <c r="C15" s="71" t="s">
        <v>0</v>
      </c>
      <c r="D15" s="71" t="s">
        <v>51</v>
      </c>
      <c r="E15" s="72" t="s">
        <v>39</v>
      </c>
      <c r="F15" s="72" t="s">
        <v>48</v>
      </c>
      <c r="G15" s="73" t="s">
        <v>31</v>
      </c>
      <c r="H15" s="72" t="s">
        <v>15</v>
      </c>
    </row>
    <row r="16" spans="1:8" ht="13.55" customHeight="1" x14ac:dyDescent="0.3">
      <c r="B16" s="75">
        <v>45200</v>
      </c>
      <c r="C16" s="76" t="str">
        <f t="shared" ref="C16:C37" si="0">IF(ISBLANK(B16),"",PROPER(TEXT(B16,"MMMM")))</f>
        <v>Outubro</v>
      </c>
      <c r="D16" s="76" t="s">
        <v>43</v>
      </c>
      <c r="E16" s="77" t="s">
        <v>32</v>
      </c>
      <c r="F16" s="77" t="s">
        <v>36</v>
      </c>
      <c r="G16" s="78">
        <v>150</v>
      </c>
      <c r="H16" s="79"/>
    </row>
    <row r="17" spans="2:8" x14ac:dyDescent="0.3">
      <c r="B17" s="75">
        <v>45200</v>
      </c>
      <c r="C17" s="76" t="str">
        <f t="shared" si="0"/>
        <v>Outubro</v>
      </c>
      <c r="D17" s="76" t="s">
        <v>55</v>
      </c>
      <c r="E17" s="77" t="s">
        <v>36</v>
      </c>
      <c r="F17" s="77" t="s">
        <v>37</v>
      </c>
      <c r="G17" s="78">
        <v>50</v>
      </c>
      <c r="H17" s="79"/>
    </row>
    <row r="18" spans="2:8" x14ac:dyDescent="0.3">
      <c r="B18" s="75">
        <v>45201</v>
      </c>
      <c r="C18" s="76" t="str">
        <f t="shared" si="0"/>
        <v>Outubro</v>
      </c>
      <c r="D18" s="76" t="s">
        <v>3</v>
      </c>
      <c r="E18" s="77" t="s">
        <v>49</v>
      </c>
      <c r="F18" s="77" t="s">
        <v>37</v>
      </c>
      <c r="G18" s="99">
        <v>50</v>
      </c>
      <c r="H18" s="79"/>
    </row>
    <row r="19" spans="2:8" x14ac:dyDescent="0.3">
      <c r="B19" s="75"/>
      <c r="C19" s="76" t="str">
        <f>IF(ISBLANK(B19),"",PROPER(TEXT(B19,"MMMM")))</f>
        <v/>
      </c>
      <c r="D19" s="76"/>
      <c r="E19" s="77"/>
      <c r="F19" s="77"/>
      <c r="G19" s="99"/>
      <c r="H19" s="79"/>
    </row>
    <row r="28" spans="2:8" x14ac:dyDescent="0.3">
      <c r="C28" s="82" t="str">
        <f>IF(ISBLANK(B28),"",PROPER(TEXT(B28,"MMMM")))</f>
        <v/>
      </c>
      <c r="D28" s="82" t="str">
        <f t="shared" ref="D28:G28" si="1">IF(ISBLANK(C28),"",PROPER(TEXT(C28,"MMMM")))</f>
        <v/>
      </c>
      <c r="E28" s="82" t="str">
        <f t="shared" si="1"/>
        <v/>
      </c>
      <c r="F28" s="82" t="str">
        <f t="shared" si="1"/>
        <v/>
      </c>
      <c r="G28" s="82" t="str">
        <f t="shared" si="1"/>
        <v/>
      </c>
    </row>
    <row r="37" spans="3:9" x14ac:dyDescent="0.3">
      <c r="C37" s="82" t="str">
        <f t="shared" si="0"/>
        <v/>
      </c>
      <c r="I37" s="80" t="s">
        <v>41</v>
      </c>
    </row>
    <row r="38" spans="3:9" x14ac:dyDescent="0.3">
      <c r="C38" s="82" t="str">
        <f t="shared" ref="C38:C52" si="2">IF(ISBLANK(B38),"",PROPER(TEXT(B38,"MMMM")))</f>
        <v/>
      </c>
    </row>
    <row r="39" spans="3:9" x14ac:dyDescent="0.3">
      <c r="C39" s="82" t="str">
        <f t="shared" ref="C39:C49" si="3">IF(ISBLANK(B39),"",PROPER(TEXT(B39,"MMMM")))</f>
        <v/>
      </c>
    </row>
    <row r="40" spans="3:9" x14ac:dyDescent="0.3">
      <c r="C40" s="82" t="str">
        <f t="shared" si="3"/>
        <v/>
      </c>
    </row>
    <row r="41" spans="3:9" x14ac:dyDescent="0.3">
      <c r="C41" s="82" t="str">
        <f t="shared" si="3"/>
        <v/>
      </c>
    </row>
    <row r="42" spans="3:9" x14ac:dyDescent="0.3">
      <c r="C42" s="82" t="str">
        <f t="shared" si="3"/>
        <v/>
      </c>
    </row>
    <row r="43" spans="3:9" x14ac:dyDescent="0.3">
      <c r="C43" s="82" t="str">
        <f t="shared" si="3"/>
        <v/>
      </c>
    </row>
    <row r="44" spans="3:9" x14ac:dyDescent="0.3">
      <c r="C44" s="82" t="str">
        <f t="shared" si="3"/>
        <v/>
      </c>
    </row>
    <row r="45" spans="3:9" x14ac:dyDescent="0.3">
      <c r="C45" s="82" t="str">
        <f t="shared" si="3"/>
        <v/>
      </c>
    </row>
    <row r="46" spans="3:9" x14ac:dyDescent="0.3">
      <c r="C46" s="82" t="str">
        <f t="shared" si="3"/>
        <v/>
      </c>
    </row>
    <row r="47" spans="3:9" x14ac:dyDescent="0.3">
      <c r="C47" s="82" t="str">
        <f t="shared" si="3"/>
        <v/>
      </c>
    </row>
    <row r="48" spans="3:9" x14ac:dyDescent="0.3">
      <c r="C48" s="82" t="str">
        <f t="shared" si="3"/>
        <v/>
      </c>
    </row>
    <row r="49" spans="2:8" x14ac:dyDescent="0.3">
      <c r="C49" s="82" t="str">
        <f t="shared" si="3"/>
        <v/>
      </c>
    </row>
    <row r="50" spans="2:8" x14ac:dyDescent="0.3">
      <c r="C50" s="82" t="str">
        <f t="shared" si="2"/>
        <v/>
      </c>
    </row>
    <row r="51" spans="2:8" x14ac:dyDescent="0.3">
      <c r="C51" s="82" t="str">
        <f t="shared" si="2"/>
        <v/>
      </c>
    </row>
    <row r="52" spans="2:8" x14ac:dyDescent="0.3">
      <c r="C52" s="82" t="str">
        <f t="shared" si="2"/>
        <v/>
      </c>
      <c r="G52" s="85"/>
      <c r="H52" s="86"/>
    </row>
    <row r="53" spans="2:8" x14ac:dyDescent="0.3">
      <c r="B53" s="80"/>
      <c r="C53" s="80"/>
      <c r="D53" s="80"/>
      <c r="E53" s="67"/>
      <c r="F53" s="67"/>
      <c r="G53" s="85"/>
      <c r="H53" s="86"/>
    </row>
    <row r="54" spans="2:8" x14ac:dyDescent="0.3">
      <c r="B54" s="80"/>
      <c r="C54" s="80"/>
      <c r="D54" s="80"/>
      <c r="E54" s="67"/>
      <c r="F54" s="67"/>
      <c r="G54" s="85"/>
      <c r="H54" s="86"/>
    </row>
    <row r="55" spans="2:8" x14ac:dyDescent="0.3">
      <c r="B55" s="80"/>
      <c r="C55" s="80"/>
      <c r="D55" s="80"/>
      <c r="E55" s="67"/>
      <c r="F55" s="67"/>
      <c r="G55" s="85"/>
      <c r="H55" s="86"/>
    </row>
    <row r="56" spans="2:8" x14ac:dyDescent="0.3">
      <c r="B56" s="80"/>
      <c r="C56" s="87"/>
      <c r="D56" s="87"/>
      <c r="E56" s="67"/>
      <c r="F56" s="67"/>
      <c r="G56" s="85"/>
      <c r="H56" s="86"/>
    </row>
    <row r="57" spans="2:8" x14ac:dyDescent="0.3">
      <c r="B57" s="80"/>
      <c r="C57" s="80"/>
      <c r="D57" s="80"/>
      <c r="G57" s="80"/>
    </row>
    <row r="58" spans="2:8" x14ac:dyDescent="0.3">
      <c r="B58" s="80"/>
      <c r="C58" s="80"/>
      <c r="D58" s="80"/>
      <c r="G58" s="80"/>
    </row>
    <row r="59" spans="2:8" x14ac:dyDescent="0.3">
      <c r="B59" s="80"/>
      <c r="C59" s="80"/>
      <c r="D59" s="80"/>
      <c r="G59" s="80"/>
    </row>
    <row r="60" spans="2:8" x14ac:dyDescent="0.3">
      <c r="B60" s="80"/>
      <c r="C60" s="80"/>
      <c r="D60" s="80"/>
      <c r="G60" s="80"/>
    </row>
    <row r="61" spans="2:8" x14ac:dyDescent="0.3">
      <c r="B61" s="80"/>
      <c r="C61" s="80"/>
      <c r="D61" s="80"/>
      <c r="G61" s="80"/>
    </row>
    <row r="62" spans="2:8" x14ac:dyDescent="0.3">
      <c r="B62" s="80"/>
      <c r="C62" s="80"/>
      <c r="D62" s="80"/>
      <c r="G62" s="80"/>
    </row>
    <row r="63" spans="2:8" x14ac:dyDescent="0.3">
      <c r="B63" s="80"/>
      <c r="C63" s="80"/>
      <c r="D63" s="80"/>
      <c r="G63" s="80"/>
    </row>
    <row r="64" spans="2:8" x14ac:dyDescent="0.3">
      <c r="C64" s="82" t="str">
        <f t="shared" ref="C64:C122" si="4">IF(ISBLANK(B64),"",PROPER(TEXT(B64,"MMMM")))</f>
        <v/>
      </c>
    </row>
    <row r="65" spans="3:3" x14ac:dyDescent="0.3">
      <c r="C65" s="82" t="str">
        <f t="shared" si="4"/>
        <v/>
      </c>
    </row>
    <row r="66" spans="3:3" x14ac:dyDescent="0.3">
      <c r="C66" s="82" t="str">
        <f t="shared" si="4"/>
        <v/>
      </c>
    </row>
    <row r="67" spans="3:3" x14ac:dyDescent="0.3">
      <c r="C67" s="82" t="str">
        <f t="shared" si="4"/>
        <v/>
      </c>
    </row>
    <row r="68" spans="3:3" x14ac:dyDescent="0.3">
      <c r="C68" s="82" t="str">
        <f t="shared" si="4"/>
        <v/>
      </c>
    </row>
    <row r="69" spans="3:3" x14ac:dyDescent="0.3">
      <c r="C69" s="82" t="str">
        <f t="shared" si="4"/>
        <v/>
      </c>
    </row>
    <row r="70" spans="3:3" x14ac:dyDescent="0.3">
      <c r="C70" s="82" t="str">
        <f t="shared" si="4"/>
        <v/>
      </c>
    </row>
    <row r="71" spans="3:3" x14ac:dyDescent="0.3">
      <c r="C71" s="82" t="str">
        <f t="shared" si="4"/>
        <v/>
      </c>
    </row>
    <row r="72" spans="3:3" x14ac:dyDescent="0.3">
      <c r="C72" s="82" t="str">
        <f t="shared" si="4"/>
        <v/>
      </c>
    </row>
    <row r="73" spans="3:3" x14ac:dyDescent="0.3">
      <c r="C73" s="82" t="str">
        <f t="shared" si="4"/>
        <v/>
      </c>
    </row>
    <row r="74" spans="3:3" x14ac:dyDescent="0.3">
      <c r="C74" s="82" t="str">
        <f t="shared" si="4"/>
        <v/>
      </c>
    </row>
    <row r="75" spans="3:3" x14ac:dyDescent="0.3">
      <c r="C75" s="82" t="str">
        <f t="shared" si="4"/>
        <v/>
      </c>
    </row>
    <row r="76" spans="3:3" x14ac:dyDescent="0.3">
      <c r="C76" s="82" t="str">
        <f t="shared" si="4"/>
        <v/>
      </c>
    </row>
    <row r="77" spans="3:3" x14ac:dyDescent="0.3">
      <c r="C77" s="82" t="str">
        <f t="shared" si="4"/>
        <v/>
      </c>
    </row>
    <row r="78" spans="3:3" x14ac:dyDescent="0.3">
      <c r="C78" s="82" t="str">
        <f t="shared" si="4"/>
        <v/>
      </c>
    </row>
    <row r="79" spans="3:3" x14ac:dyDescent="0.3">
      <c r="C79" s="82" t="str">
        <f t="shared" si="4"/>
        <v/>
      </c>
    </row>
    <row r="80" spans="3:3" x14ac:dyDescent="0.3">
      <c r="C80" s="82" t="str">
        <f t="shared" si="4"/>
        <v/>
      </c>
    </row>
    <row r="81" spans="3:3" x14ac:dyDescent="0.3">
      <c r="C81" s="82" t="str">
        <f t="shared" si="4"/>
        <v/>
      </c>
    </row>
    <row r="82" spans="3:3" x14ac:dyDescent="0.3">
      <c r="C82" s="82" t="str">
        <f t="shared" si="4"/>
        <v/>
      </c>
    </row>
    <row r="83" spans="3:3" x14ac:dyDescent="0.3">
      <c r="C83" s="82" t="str">
        <f t="shared" si="4"/>
        <v/>
      </c>
    </row>
    <row r="84" spans="3:3" x14ac:dyDescent="0.3">
      <c r="C84" s="82" t="str">
        <f t="shared" si="4"/>
        <v/>
      </c>
    </row>
    <row r="85" spans="3:3" x14ac:dyDescent="0.3">
      <c r="C85" s="82" t="str">
        <f t="shared" si="4"/>
        <v/>
      </c>
    </row>
    <row r="86" spans="3:3" x14ac:dyDescent="0.3">
      <c r="C86" s="82" t="str">
        <f t="shared" si="4"/>
        <v/>
      </c>
    </row>
    <row r="87" spans="3:3" x14ac:dyDescent="0.3">
      <c r="C87" s="82" t="str">
        <f t="shared" si="4"/>
        <v/>
      </c>
    </row>
    <row r="88" spans="3:3" x14ac:dyDescent="0.3">
      <c r="C88" s="82" t="str">
        <f t="shared" si="4"/>
        <v/>
      </c>
    </row>
    <row r="89" spans="3:3" x14ac:dyDescent="0.3">
      <c r="C89" s="82" t="str">
        <f t="shared" si="4"/>
        <v/>
      </c>
    </row>
    <row r="90" spans="3:3" x14ac:dyDescent="0.3">
      <c r="C90" s="82" t="str">
        <f t="shared" si="4"/>
        <v/>
      </c>
    </row>
    <row r="91" spans="3:3" x14ac:dyDescent="0.3">
      <c r="C91" s="82" t="str">
        <f t="shared" si="4"/>
        <v/>
      </c>
    </row>
    <row r="92" spans="3:3" x14ac:dyDescent="0.3">
      <c r="C92" s="82" t="str">
        <f t="shared" si="4"/>
        <v/>
      </c>
    </row>
    <row r="93" spans="3:3" x14ac:dyDescent="0.3">
      <c r="C93" s="82" t="str">
        <f t="shared" si="4"/>
        <v/>
      </c>
    </row>
    <row r="94" spans="3:3" x14ac:dyDescent="0.3">
      <c r="C94" s="82" t="str">
        <f t="shared" si="4"/>
        <v/>
      </c>
    </row>
    <row r="95" spans="3:3" x14ac:dyDescent="0.3">
      <c r="C95" s="82" t="str">
        <f t="shared" si="4"/>
        <v/>
      </c>
    </row>
    <row r="96" spans="3:3" x14ac:dyDescent="0.3">
      <c r="C96" s="82" t="str">
        <f t="shared" si="4"/>
        <v/>
      </c>
    </row>
    <row r="97" spans="3:3" x14ac:dyDescent="0.3">
      <c r="C97" s="82" t="str">
        <f t="shared" si="4"/>
        <v/>
      </c>
    </row>
    <row r="98" spans="3:3" x14ac:dyDescent="0.3">
      <c r="C98" s="82" t="str">
        <f t="shared" si="4"/>
        <v/>
      </c>
    </row>
    <row r="99" spans="3:3" x14ac:dyDescent="0.3">
      <c r="C99" s="82" t="str">
        <f t="shared" si="4"/>
        <v/>
      </c>
    </row>
    <row r="100" spans="3:3" x14ac:dyDescent="0.3">
      <c r="C100" s="82" t="str">
        <f t="shared" si="4"/>
        <v/>
      </c>
    </row>
    <row r="101" spans="3:3" x14ac:dyDescent="0.3">
      <c r="C101" s="82" t="str">
        <f t="shared" si="4"/>
        <v/>
      </c>
    </row>
    <row r="102" spans="3:3" x14ac:dyDescent="0.3">
      <c r="C102" s="82" t="str">
        <f t="shared" si="4"/>
        <v/>
      </c>
    </row>
    <row r="103" spans="3:3" x14ac:dyDescent="0.3">
      <c r="C103" s="82" t="str">
        <f t="shared" si="4"/>
        <v/>
      </c>
    </row>
    <row r="104" spans="3:3" x14ac:dyDescent="0.3">
      <c r="C104" s="82" t="str">
        <f t="shared" si="4"/>
        <v/>
      </c>
    </row>
    <row r="105" spans="3:3" x14ac:dyDescent="0.3">
      <c r="C105" s="82" t="str">
        <f t="shared" si="4"/>
        <v/>
      </c>
    </row>
    <row r="106" spans="3:3" x14ac:dyDescent="0.3">
      <c r="C106" s="82" t="str">
        <f t="shared" si="4"/>
        <v/>
      </c>
    </row>
    <row r="107" spans="3:3" x14ac:dyDescent="0.3">
      <c r="C107" s="82" t="str">
        <f t="shared" si="4"/>
        <v/>
      </c>
    </row>
    <row r="108" spans="3:3" x14ac:dyDescent="0.3">
      <c r="C108" s="82" t="str">
        <f t="shared" si="4"/>
        <v/>
      </c>
    </row>
    <row r="109" spans="3:3" x14ac:dyDescent="0.3">
      <c r="C109" s="82" t="str">
        <f t="shared" si="4"/>
        <v/>
      </c>
    </row>
    <row r="110" spans="3:3" x14ac:dyDescent="0.3">
      <c r="C110" s="82" t="str">
        <f t="shared" si="4"/>
        <v/>
      </c>
    </row>
    <row r="111" spans="3:3" x14ac:dyDescent="0.3">
      <c r="C111" s="82" t="str">
        <f t="shared" si="4"/>
        <v/>
      </c>
    </row>
    <row r="112" spans="3:3" x14ac:dyDescent="0.3">
      <c r="C112" s="82" t="str">
        <f t="shared" si="4"/>
        <v/>
      </c>
    </row>
    <row r="113" spans="3:3" x14ac:dyDescent="0.3">
      <c r="C113" s="82" t="str">
        <f t="shared" si="4"/>
        <v/>
      </c>
    </row>
    <row r="114" spans="3:3" x14ac:dyDescent="0.3">
      <c r="C114" s="82" t="str">
        <f t="shared" si="4"/>
        <v/>
      </c>
    </row>
    <row r="115" spans="3:3" x14ac:dyDescent="0.3">
      <c r="C115" s="82" t="str">
        <f t="shared" si="4"/>
        <v/>
      </c>
    </row>
    <row r="116" spans="3:3" x14ac:dyDescent="0.3">
      <c r="C116" s="82" t="str">
        <f t="shared" si="4"/>
        <v/>
      </c>
    </row>
    <row r="117" spans="3:3" x14ac:dyDescent="0.3">
      <c r="C117" s="82" t="str">
        <f t="shared" si="4"/>
        <v/>
      </c>
    </row>
    <row r="118" spans="3:3" x14ac:dyDescent="0.3">
      <c r="C118" s="82" t="str">
        <f t="shared" si="4"/>
        <v/>
      </c>
    </row>
    <row r="119" spans="3:3" x14ac:dyDescent="0.3">
      <c r="C119" s="82" t="str">
        <f t="shared" si="4"/>
        <v/>
      </c>
    </row>
    <row r="120" spans="3:3" x14ac:dyDescent="0.3">
      <c r="C120" s="82" t="str">
        <f t="shared" si="4"/>
        <v/>
      </c>
    </row>
    <row r="121" spans="3:3" x14ac:dyDescent="0.3">
      <c r="C121" s="82" t="str">
        <f t="shared" si="4"/>
        <v/>
      </c>
    </row>
    <row r="122" spans="3:3" x14ac:dyDescent="0.3">
      <c r="C122" s="82" t="str">
        <f t="shared" si="4"/>
        <v/>
      </c>
    </row>
    <row r="123" spans="3:3" x14ac:dyDescent="0.3">
      <c r="C123" s="82" t="str">
        <f t="shared" ref="C123:C186" si="5">IF(ISBLANK(B123),"",PROPER(TEXT(B123,"MMMM")))</f>
        <v/>
      </c>
    </row>
    <row r="124" spans="3:3" x14ac:dyDescent="0.3">
      <c r="C124" s="82" t="str">
        <f t="shared" si="5"/>
        <v/>
      </c>
    </row>
    <row r="125" spans="3:3" x14ac:dyDescent="0.3">
      <c r="C125" s="82" t="str">
        <f t="shared" si="5"/>
        <v/>
      </c>
    </row>
    <row r="126" spans="3:3" x14ac:dyDescent="0.3">
      <c r="C126" s="82" t="str">
        <f t="shared" si="5"/>
        <v/>
      </c>
    </row>
    <row r="127" spans="3:3" x14ac:dyDescent="0.3">
      <c r="C127" s="82" t="str">
        <f t="shared" si="5"/>
        <v/>
      </c>
    </row>
    <row r="128" spans="3:3" x14ac:dyDescent="0.3">
      <c r="C128" s="82" t="str">
        <f t="shared" si="5"/>
        <v/>
      </c>
    </row>
    <row r="129" spans="3:3" x14ac:dyDescent="0.3">
      <c r="C129" s="82" t="str">
        <f t="shared" si="5"/>
        <v/>
      </c>
    </row>
    <row r="130" spans="3:3" x14ac:dyDescent="0.3">
      <c r="C130" s="82" t="str">
        <f t="shared" si="5"/>
        <v/>
      </c>
    </row>
    <row r="131" spans="3:3" x14ac:dyDescent="0.3">
      <c r="C131" s="82" t="str">
        <f t="shared" si="5"/>
        <v/>
      </c>
    </row>
    <row r="132" spans="3:3" x14ac:dyDescent="0.3">
      <c r="C132" s="82" t="str">
        <f t="shared" si="5"/>
        <v/>
      </c>
    </row>
    <row r="133" spans="3:3" x14ac:dyDescent="0.3">
      <c r="C133" s="82" t="str">
        <f t="shared" si="5"/>
        <v/>
      </c>
    </row>
    <row r="134" spans="3:3" x14ac:dyDescent="0.3">
      <c r="C134" s="82" t="str">
        <f t="shared" si="5"/>
        <v/>
      </c>
    </row>
    <row r="135" spans="3:3" x14ac:dyDescent="0.3">
      <c r="C135" s="82" t="str">
        <f t="shared" si="5"/>
        <v/>
      </c>
    </row>
    <row r="136" spans="3:3" x14ac:dyDescent="0.3">
      <c r="C136" s="82" t="str">
        <f t="shared" si="5"/>
        <v/>
      </c>
    </row>
    <row r="137" spans="3:3" x14ac:dyDescent="0.3">
      <c r="C137" s="82" t="str">
        <f t="shared" si="5"/>
        <v/>
      </c>
    </row>
    <row r="138" spans="3:3" x14ac:dyDescent="0.3">
      <c r="C138" s="82" t="str">
        <f t="shared" si="5"/>
        <v/>
      </c>
    </row>
    <row r="139" spans="3:3" x14ac:dyDescent="0.3">
      <c r="C139" s="82" t="str">
        <f t="shared" si="5"/>
        <v/>
      </c>
    </row>
    <row r="140" spans="3:3" x14ac:dyDescent="0.3">
      <c r="C140" s="82" t="str">
        <f t="shared" si="5"/>
        <v/>
      </c>
    </row>
    <row r="141" spans="3:3" x14ac:dyDescent="0.3">
      <c r="C141" s="82" t="str">
        <f t="shared" si="5"/>
        <v/>
      </c>
    </row>
    <row r="142" spans="3:3" x14ac:dyDescent="0.3">
      <c r="C142" s="82" t="str">
        <f t="shared" si="5"/>
        <v/>
      </c>
    </row>
    <row r="143" spans="3:3" x14ac:dyDescent="0.3">
      <c r="C143" s="82" t="str">
        <f t="shared" si="5"/>
        <v/>
      </c>
    </row>
    <row r="144" spans="3:3" x14ac:dyDescent="0.3">
      <c r="C144" s="82" t="str">
        <f t="shared" si="5"/>
        <v/>
      </c>
    </row>
    <row r="145" spans="3:3" x14ac:dyDescent="0.3">
      <c r="C145" s="82" t="str">
        <f t="shared" si="5"/>
        <v/>
      </c>
    </row>
    <row r="146" spans="3:3" x14ac:dyDescent="0.3">
      <c r="C146" s="82" t="str">
        <f t="shared" si="5"/>
        <v/>
      </c>
    </row>
    <row r="147" spans="3:3" x14ac:dyDescent="0.3">
      <c r="C147" s="82" t="str">
        <f t="shared" si="5"/>
        <v/>
      </c>
    </row>
    <row r="148" spans="3:3" x14ac:dyDescent="0.3">
      <c r="C148" s="82" t="str">
        <f t="shared" si="5"/>
        <v/>
      </c>
    </row>
    <row r="149" spans="3:3" x14ac:dyDescent="0.3">
      <c r="C149" s="82" t="str">
        <f t="shared" si="5"/>
        <v/>
      </c>
    </row>
    <row r="150" spans="3:3" x14ac:dyDescent="0.3">
      <c r="C150" s="82" t="str">
        <f t="shared" si="5"/>
        <v/>
      </c>
    </row>
    <row r="151" spans="3:3" x14ac:dyDescent="0.3">
      <c r="C151" s="82" t="str">
        <f t="shared" si="5"/>
        <v/>
      </c>
    </row>
    <row r="152" spans="3:3" x14ac:dyDescent="0.3">
      <c r="C152" s="82" t="str">
        <f t="shared" si="5"/>
        <v/>
      </c>
    </row>
    <row r="153" spans="3:3" x14ac:dyDescent="0.3">
      <c r="C153" s="82" t="str">
        <f t="shared" si="5"/>
        <v/>
      </c>
    </row>
    <row r="154" spans="3:3" x14ac:dyDescent="0.3">
      <c r="C154" s="82" t="str">
        <f t="shared" si="5"/>
        <v/>
      </c>
    </row>
    <row r="155" spans="3:3" x14ac:dyDescent="0.3">
      <c r="C155" s="82" t="str">
        <f t="shared" si="5"/>
        <v/>
      </c>
    </row>
    <row r="156" spans="3:3" x14ac:dyDescent="0.3">
      <c r="C156" s="82" t="str">
        <f t="shared" si="5"/>
        <v/>
      </c>
    </row>
    <row r="157" spans="3:3" x14ac:dyDescent="0.3">
      <c r="C157" s="82" t="str">
        <f t="shared" si="5"/>
        <v/>
      </c>
    </row>
    <row r="158" spans="3:3" x14ac:dyDescent="0.3">
      <c r="C158" s="82" t="str">
        <f t="shared" si="5"/>
        <v/>
      </c>
    </row>
    <row r="159" spans="3:3" x14ac:dyDescent="0.3">
      <c r="C159" s="82" t="str">
        <f t="shared" si="5"/>
        <v/>
      </c>
    </row>
    <row r="160" spans="3:3" x14ac:dyDescent="0.3">
      <c r="C160" s="82" t="str">
        <f t="shared" si="5"/>
        <v/>
      </c>
    </row>
    <row r="161" spans="3:3" x14ac:dyDescent="0.3">
      <c r="C161" s="82" t="str">
        <f t="shared" si="5"/>
        <v/>
      </c>
    </row>
    <row r="162" spans="3:3" x14ac:dyDescent="0.3">
      <c r="C162" s="82" t="str">
        <f t="shared" si="5"/>
        <v/>
      </c>
    </row>
    <row r="163" spans="3:3" x14ac:dyDescent="0.3">
      <c r="C163" s="82" t="str">
        <f t="shared" si="5"/>
        <v/>
      </c>
    </row>
    <row r="164" spans="3:3" x14ac:dyDescent="0.3">
      <c r="C164" s="82" t="str">
        <f t="shared" si="5"/>
        <v/>
      </c>
    </row>
    <row r="165" spans="3:3" x14ac:dyDescent="0.3">
      <c r="C165" s="82" t="str">
        <f t="shared" si="5"/>
        <v/>
      </c>
    </row>
    <row r="166" spans="3:3" x14ac:dyDescent="0.3">
      <c r="C166" s="82" t="str">
        <f t="shared" si="5"/>
        <v/>
      </c>
    </row>
    <row r="167" spans="3:3" x14ac:dyDescent="0.3">
      <c r="C167" s="82" t="str">
        <f t="shared" si="5"/>
        <v/>
      </c>
    </row>
    <row r="168" spans="3:3" x14ac:dyDescent="0.3">
      <c r="C168" s="82" t="str">
        <f t="shared" si="5"/>
        <v/>
      </c>
    </row>
    <row r="169" spans="3:3" x14ac:dyDescent="0.3">
      <c r="C169" s="82" t="str">
        <f t="shared" si="5"/>
        <v/>
      </c>
    </row>
    <row r="170" spans="3:3" x14ac:dyDescent="0.3">
      <c r="C170" s="82" t="str">
        <f t="shared" si="5"/>
        <v/>
      </c>
    </row>
    <row r="171" spans="3:3" x14ac:dyDescent="0.3">
      <c r="C171" s="82" t="str">
        <f t="shared" si="5"/>
        <v/>
      </c>
    </row>
    <row r="172" spans="3:3" x14ac:dyDescent="0.3">
      <c r="C172" s="82" t="str">
        <f t="shared" si="5"/>
        <v/>
      </c>
    </row>
    <row r="173" spans="3:3" x14ac:dyDescent="0.3">
      <c r="C173" s="82" t="str">
        <f t="shared" si="5"/>
        <v/>
      </c>
    </row>
    <row r="174" spans="3:3" x14ac:dyDescent="0.3">
      <c r="C174" s="82" t="str">
        <f t="shared" si="5"/>
        <v/>
      </c>
    </row>
    <row r="175" spans="3:3" x14ac:dyDescent="0.3">
      <c r="C175" s="82" t="str">
        <f t="shared" si="5"/>
        <v/>
      </c>
    </row>
    <row r="176" spans="3:3" x14ac:dyDescent="0.3">
      <c r="C176" s="82" t="str">
        <f t="shared" si="5"/>
        <v/>
      </c>
    </row>
    <row r="177" spans="3:3" x14ac:dyDescent="0.3">
      <c r="C177" s="82" t="str">
        <f t="shared" si="5"/>
        <v/>
      </c>
    </row>
    <row r="178" spans="3:3" x14ac:dyDescent="0.3">
      <c r="C178" s="82" t="str">
        <f t="shared" si="5"/>
        <v/>
      </c>
    </row>
    <row r="179" spans="3:3" x14ac:dyDescent="0.3">
      <c r="C179" s="82" t="str">
        <f t="shared" si="5"/>
        <v/>
      </c>
    </row>
    <row r="180" spans="3:3" x14ac:dyDescent="0.3">
      <c r="C180" s="82" t="str">
        <f t="shared" si="5"/>
        <v/>
      </c>
    </row>
    <row r="181" spans="3:3" x14ac:dyDescent="0.3">
      <c r="C181" s="82" t="str">
        <f t="shared" si="5"/>
        <v/>
      </c>
    </row>
    <row r="182" spans="3:3" x14ac:dyDescent="0.3">
      <c r="C182" s="82" t="str">
        <f t="shared" si="5"/>
        <v/>
      </c>
    </row>
    <row r="183" spans="3:3" x14ac:dyDescent="0.3">
      <c r="C183" s="82" t="str">
        <f t="shared" si="5"/>
        <v/>
      </c>
    </row>
    <row r="184" spans="3:3" x14ac:dyDescent="0.3">
      <c r="C184" s="82" t="str">
        <f t="shared" si="5"/>
        <v/>
      </c>
    </row>
    <row r="185" spans="3:3" x14ac:dyDescent="0.3">
      <c r="C185" s="82" t="str">
        <f t="shared" si="5"/>
        <v/>
      </c>
    </row>
    <row r="186" spans="3:3" x14ac:dyDescent="0.3">
      <c r="C186" s="82" t="str">
        <f t="shared" si="5"/>
        <v/>
      </c>
    </row>
    <row r="187" spans="3:3" x14ac:dyDescent="0.3">
      <c r="C187" s="82" t="str">
        <f t="shared" ref="C187:C250" si="6">IF(ISBLANK(B187),"",PROPER(TEXT(B187,"MMMM")))</f>
        <v/>
      </c>
    </row>
    <row r="188" spans="3:3" x14ac:dyDescent="0.3">
      <c r="C188" s="82" t="str">
        <f t="shared" si="6"/>
        <v/>
      </c>
    </row>
    <row r="189" spans="3:3" x14ac:dyDescent="0.3">
      <c r="C189" s="82" t="str">
        <f t="shared" si="6"/>
        <v/>
      </c>
    </row>
    <row r="190" spans="3:3" x14ac:dyDescent="0.3">
      <c r="C190" s="82" t="str">
        <f t="shared" si="6"/>
        <v/>
      </c>
    </row>
    <row r="191" spans="3:3" x14ac:dyDescent="0.3">
      <c r="C191" s="82" t="str">
        <f t="shared" si="6"/>
        <v/>
      </c>
    </row>
    <row r="192" spans="3:3" x14ac:dyDescent="0.3">
      <c r="C192" s="82" t="str">
        <f t="shared" si="6"/>
        <v/>
      </c>
    </row>
    <row r="193" spans="3:3" x14ac:dyDescent="0.3">
      <c r="C193" s="82" t="str">
        <f t="shared" si="6"/>
        <v/>
      </c>
    </row>
    <row r="194" spans="3:3" x14ac:dyDescent="0.3">
      <c r="C194" s="82" t="str">
        <f t="shared" si="6"/>
        <v/>
      </c>
    </row>
    <row r="195" spans="3:3" x14ac:dyDescent="0.3">
      <c r="C195" s="82" t="str">
        <f t="shared" si="6"/>
        <v/>
      </c>
    </row>
    <row r="196" spans="3:3" x14ac:dyDescent="0.3">
      <c r="C196" s="82" t="str">
        <f t="shared" si="6"/>
        <v/>
      </c>
    </row>
    <row r="197" spans="3:3" x14ac:dyDescent="0.3">
      <c r="C197" s="82" t="str">
        <f t="shared" si="6"/>
        <v/>
      </c>
    </row>
    <row r="198" spans="3:3" x14ac:dyDescent="0.3">
      <c r="C198" s="82" t="str">
        <f t="shared" si="6"/>
        <v/>
      </c>
    </row>
    <row r="199" spans="3:3" x14ac:dyDescent="0.3">
      <c r="C199" s="82" t="str">
        <f t="shared" si="6"/>
        <v/>
      </c>
    </row>
    <row r="200" spans="3:3" x14ac:dyDescent="0.3">
      <c r="C200" s="82" t="str">
        <f t="shared" si="6"/>
        <v/>
      </c>
    </row>
    <row r="201" spans="3:3" x14ac:dyDescent="0.3">
      <c r="C201" s="82" t="str">
        <f t="shared" si="6"/>
        <v/>
      </c>
    </row>
    <row r="202" spans="3:3" x14ac:dyDescent="0.3">
      <c r="C202" s="82" t="str">
        <f t="shared" si="6"/>
        <v/>
      </c>
    </row>
    <row r="203" spans="3:3" x14ac:dyDescent="0.3">
      <c r="C203" s="82" t="str">
        <f t="shared" si="6"/>
        <v/>
      </c>
    </row>
    <row r="204" spans="3:3" x14ac:dyDescent="0.3">
      <c r="C204" s="82" t="str">
        <f t="shared" si="6"/>
        <v/>
      </c>
    </row>
    <row r="205" spans="3:3" x14ac:dyDescent="0.3">
      <c r="C205" s="82" t="str">
        <f t="shared" si="6"/>
        <v/>
      </c>
    </row>
    <row r="206" spans="3:3" x14ac:dyDescent="0.3">
      <c r="C206" s="82" t="str">
        <f t="shared" si="6"/>
        <v/>
      </c>
    </row>
    <row r="207" spans="3:3" x14ac:dyDescent="0.3">
      <c r="C207" s="82" t="str">
        <f t="shared" si="6"/>
        <v/>
      </c>
    </row>
    <row r="208" spans="3:3" x14ac:dyDescent="0.3">
      <c r="C208" s="82" t="str">
        <f t="shared" si="6"/>
        <v/>
      </c>
    </row>
    <row r="209" spans="3:3" x14ac:dyDescent="0.3">
      <c r="C209" s="82" t="str">
        <f t="shared" si="6"/>
        <v/>
      </c>
    </row>
    <row r="210" spans="3:3" x14ac:dyDescent="0.3">
      <c r="C210" s="82" t="str">
        <f t="shared" si="6"/>
        <v/>
      </c>
    </row>
    <row r="211" spans="3:3" x14ac:dyDescent="0.3">
      <c r="C211" s="82" t="str">
        <f t="shared" si="6"/>
        <v/>
      </c>
    </row>
    <row r="212" spans="3:3" x14ac:dyDescent="0.3">
      <c r="C212" s="82" t="str">
        <f t="shared" si="6"/>
        <v/>
      </c>
    </row>
    <row r="213" spans="3:3" x14ac:dyDescent="0.3">
      <c r="C213" s="82" t="str">
        <f t="shared" si="6"/>
        <v/>
      </c>
    </row>
    <row r="214" spans="3:3" x14ac:dyDescent="0.3">
      <c r="C214" s="82" t="str">
        <f t="shared" si="6"/>
        <v/>
      </c>
    </row>
    <row r="215" spans="3:3" x14ac:dyDescent="0.3">
      <c r="C215" s="82" t="str">
        <f t="shared" si="6"/>
        <v/>
      </c>
    </row>
    <row r="216" spans="3:3" x14ac:dyDescent="0.3">
      <c r="C216" s="82" t="str">
        <f t="shared" si="6"/>
        <v/>
      </c>
    </row>
    <row r="217" spans="3:3" x14ac:dyDescent="0.3">
      <c r="C217" s="82" t="str">
        <f t="shared" si="6"/>
        <v/>
      </c>
    </row>
    <row r="218" spans="3:3" x14ac:dyDescent="0.3">
      <c r="C218" s="82" t="str">
        <f t="shared" si="6"/>
        <v/>
      </c>
    </row>
    <row r="219" spans="3:3" x14ac:dyDescent="0.3">
      <c r="C219" s="82" t="str">
        <f t="shared" si="6"/>
        <v/>
      </c>
    </row>
    <row r="220" spans="3:3" x14ac:dyDescent="0.3">
      <c r="C220" s="82" t="str">
        <f t="shared" si="6"/>
        <v/>
      </c>
    </row>
    <row r="221" spans="3:3" x14ac:dyDescent="0.3">
      <c r="C221" s="82" t="str">
        <f t="shared" si="6"/>
        <v/>
      </c>
    </row>
    <row r="222" spans="3:3" x14ac:dyDescent="0.3">
      <c r="C222" s="82" t="str">
        <f t="shared" si="6"/>
        <v/>
      </c>
    </row>
    <row r="223" spans="3:3" x14ac:dyDescent="0.3">
      <c r="C223" s="82" t="str">
        <f t="shared" si="6"/>
        <v/>
      </c>
    </row>
    <row r="224" spans="3:3" x14ac:dyDescent="0.3">
      <c r="C224" s="82" t="str">
        <f t="shared" si="6"/>
        <v/>
      </c>
    </row>
    <row r="225" spans="3:3" x14ac:dyDescent="0.3">
      <c r="C225" s="82" t="str">
        <f t="shared" si="6"/>
        <v/>
      </c>
    </row>
    <row r="226" spans="3:3" x14ac:dyDescent="0.3">
      <c r="C226" s="82" t="str">
        <f t="shared" si="6"/>
        <v/>
      </c>
    </row>
    <row r="227" spans="3:3" x14ac:dyDescent="0.3">
      <c r="C227" s="82" t="str">
        <f t="shared" si="6"/>
        <v/>
      </c>
    </row>
    <row r="228" spans="3:3" x14ac:dyDescent="0.3">
      <c r="C228" s="82" t="str">
        <f t="shared" si="6"/>
        <v/>
      </c>
    </row>
    <row r="229" spans="3:3" x14ac:dyDescent="0.3">
      <c r="C229" s="82" t="str">
        <f t="shared" si="6"/>
        <v/>
      </c>
    </row>
    <row r="230" spans="3:3" x14ac:dyDescent="0.3">
      <c r="C230" s="82" t="str">
        <f t="shared" si="6"/>
        <v/>
      </c>
    </row>
    <row r="231" spans="3:3" x14ac:dyDescent="0.3">
      <c r="C231" s="82" t="str">
        <f t="shared" si="6"/>
        <v/>
      </c>
    </row>
    <row r="232" spans="3:3" x14ac:dyDescent="0.3">
      <c r="C232" s="82" t="str">
        <f t="shared" si="6"/>
        <v/>
      </c>
    </row>
    <row r="233" spans="3:3" x14ac:dyDescent="0.3">
      <c r="C233" s="82" t="str">
        <f t="shared" si="6"/>
        <v/>
      </c>
    </row>
    <row r="234" spans="3:3" x14ac:dyDescent="0.3">
      <c r="C234" s="82" t="str">
        <f t="shared" si="6"/>
        <v/>
      </c>
    </row>
    <row r="235" spans="3:3" x14ac:dyDescent="0.3">
      <c r="C235" s="82" t="str">
        <f t="shared" si="6"/>
        <v/>
      </c>
    </row>
    <row r="236" spans="3:3" x14ac:dyDescent="0.3">
      <c r="C236" s="82" t="str">
        <f t="shared" si="6"/>
        <v/>
      </c>
    </row>
    <row r="237" spans="3:3" x14ac:dyDescent="0.3">
      <c r="C237" s="82" t="str">
        <f t="shared" si="6"/>
        <v/>
      </c>
    </row>
    <row r="238" spans="3:3" x14ac:dyDescent="0.3">
      <c r="C238" s="82" t="str">
        <f t="shared" si="6"/>
        <v/>
      </c>
    </row>
    <row r="239" spans="3:3" x14ac:dyDescent="0.3">
      <c r="C239" s="82" t="str">
        <f t="shared" si="6"/>
        <v/>
      </c>
    </row>
    <row r="240" spans="3:3" x14ac:dyDescent="0.3">
      <c r="C240" s="82" t="str">
        <f t="shared" si="6"/>
        <v/>
      </c>
    </row>
    <row r="241" spans="3:3" x14ac:dyDescent="0.3">
      <c r="C241" s="82" t="str">
        <f t="shared" si="6"/>
        <v/>
      </c>
    </row>
    <row r="242" spans="3:3" x14ac:dyDescent="0.3">
      <c r="C242" s="82" t="str">
        <f t="shared" si="6"/>
        <v/>
      </c>
    </row>
    <row r="243" spans="3:3" x14ac:dyDescent="0.3">
      <c r="C243" s="82" t="str">
        <f t="shared" si="6"/>
        <v/>
      </c>
    </row>
    <row r="244" spans="3:3" x14ac:dyDescent="0.3">
      <c r="C244" s="82" t="str">
        <f t="shared" si="6"/>
        <v/>
      </c>
    </row>
    <row r="245" spans="3:3" x14ac:dyDescent="0.3">
      <c r="C245" s="82" t="str">
        <f t="shared" si="6"/>
        <v/>
      </c>
    </row>
    <row r="246" spans="3:3" x14ac:dyDescent="0.3">
      <c r="C246" s="82" t="str">
        <f t="shared" si="6"/>
        <v/>
      </c>
    </row>
    <row r="247" spans="3:3" x14ac:dyDescent="0.3">
      <c r="C247" s="82" t="str">
        <f t="shared" si="6"/>
        <v/>
      </c>
    </row>
    <row r="248" spans="3:3" x14ac:dyDescent="0.3">
      <c r="C248" s="82" t="str">
        <f t="shared" si="6"/>
        <v/>
      </c>
    </row>
    <row r="249" spans="3:3" x14ac:dyDescent="0.3">
      <c r="C249" s="82" t="str">
        <f t="shared" si="6"/>
        <v/>
      </c>
    </row>
    <row r="250" spans="3:3" x14ac:dyDescent="0.3">
      <c r="C250" s="82" t="str">
        <f t="shared" si="6"/>
        <v/>
      </c>
    </row>
    <row r="251" spans="3:3" x14ac:dyDescent="0.3">
      <c r="C251" s="82" t="str">
        <f t="shared" ref="C251:C314" si="7">IF(ISBLANK(B251),"",PROPER(TEXT(B251,"MMMM")))</f>
        <v/>
      </c>
    </row>
    <row r="252" spans="3:3" x14ac:dyDescent="0.3">
      <c r="C252" s="82" t="str">
        <f t="shared" si="7"/>
        <v/>
      </c>
    </row>
    <row r="253" spans="3:3" x14ac:dyDescent="0.3">
      <c r="C253" s="82" t="str">
        <f t="shared" si="7"/>
        <v/>
      </c>
    </row>
    <row r="254" spans="3:3" x14ac:dyDescent="0.3">
      <c r="C254" s="82" t="str">
        <f t="shared" si="7"/>
        <v/>
      </c>
    </row>
    <row r="255" spans="3:3" x14ac:dyDescent="0.3">
      <c r="C255" s="82" t="str">
        <f t="shared" si="7"/>
        <v/>
      </c>
    </row>
    <row r="256" spans="3:3" x14ac:dyDescent="0.3">
      <c r="C256" s="82" t="str">
        <f t="shared" si="7"/>
        <v/>
      </c>
    </row>
    <row r="257" spans="3:3" x14ac:dyDescent="0.3">
      <c r="C257" s="82" t="str">
        <f t="shared" si="7"/>
        <v/>
      </c>
    </row>
    <row r="258" spans="3:3" x14ac:dyDescent="0.3">
      <c r="C258" s="82" t="str">
        <f t="shared" si="7"/>
        <v/>
      </c>
    </row>
    <row r="259" spans="3:3" x14ac:dyDescent="0.3">
      <c r="C259" s="82" t="str">
        <f t="shared" si="7"/>
        <v/>
      </c>
    </row>
    <row r="260" spans="3:3" x14ac:dyDescent="0.3">
      <c r="C260" s="82" t="str">
        <f t="shared" si="7"/>
        <v/>
      </c>
    </row>
    <row r="261" spans="3:3" x14ac:dyDescent="0.3">
      <c r="C261" s="82" t="str">
        <f t="shared" si="7"/>
        <v/>
      </c>
    </row>
    <row r="262" spans="3:3" x14ac:dyDescent="0.3">
      <c r="C262" s="82" t="str">
        <f t="shared" si="7"/>
        <v/>
      </c>
    </row>
    <row r="263" spans="3:3" x14ac:dyDescent="0.3">
      <c r="C263" s="82" t="str">
        <f t="shared" si="7"/>
        <v/>
      </c>
    </row>
    <row r="264" spans="3:3" x14ac:dyDescent="0.3">
      <c r="C264" s="82" t="str">
        <f t="shared" si="7"/>
        <v/>
      </c>
    </row>
    <row r="265" spans="3:3" x14ac:dyDescent="0.3">
      <c r="C265" s="82" t="str">
        <f t="shared" si="7"/>
        <v/>
      </c>
    </row>
    <row r="266" spans="3:3" x14ac:dyDescent="0.3">
      <c r="C266" s="82" t="str">
        <f t="shared" si="7"/>
        <v/>
      </c>
    </row>
    <row r="267" spans="3:3" x14ac:dyDescent="0.3">
      <c r="C267" s="82" t="str">
        <f t="shared" si="7"/>
        <v/>
      </c>
    </row>
    <row r="268" spans="3:3" x14ac:dyDescent="0.3">
      <c r="C268" s="82" t="str">
        <f t="shared" si="7"/>
        <v/>
      </c>
    </row>
    <row r="269" spans="3:3" x14ac:dyDescent="0.3">
      <c r="C269" s="82" t="str">
        <f t="shared" si="7"/>
        <v/>
      </c>
    </row>
    <row r="270" spans="3:3" x14ac:dyDescent="0.3">
      <c r="C270" s="82" t="str">
        <f t="shared" si="7"/>
        <v/>
      </c>
    </row>
    <row r="271" spans="3:3" x14ac:dyDescent="0.3">
      <c r="C271" s="82" t="str">
        <f t="shared" si="7"/>
        <v/>
      </c>
    </row>
    <row r="272" spans="3:3" x14ac:dyDescent="0.3">
      <c r="C272" s="82" t="str">
        <f t="shared" si="7"/>
        <v/>
      </c>
    </row>
    <row r="273" spans="3:3" x14ac:dyDescent="0.3">
      <c r="C273" s="82" t="str">
        <f t="shared" si="7"/>
        <v/>
      </c>
    </row>
    <row r="274" spans="3:3" x14ac:dyDescent="0.3">
      <c r="C274" s="82" t="str">
        <f t="shared" si="7"/>
        <v/>
      </c>
    </row>
    <row r="275" spans="3:3" x14ac:dyDescent="0.3">
      <c r="C275" s="82" t="str">
        <f t="shared" si="7"/>
        <v/>
      </c>
    </row>
    <row r="276" spans="3:3" x14ac:dyDescent="0.3">
      <c r="C276" s="82" t="str">
        <f t="shared" si="7"/>
        <v/>
      </c>
    </row>
    <row r="277" spans="3:3" x14ac:dyDescent="0.3">
      <c r="C277" s="82" t="str">
        <f t="shared" si="7"/>
        <v/>
      </c>
    </row>
    <row r="278" spans="3:3" x14ac:dyDescent="0.3">
      <c r="C278" s="82" t="str">
        <f t="shared" si="7"/>
        <v/>
      </c>
    </row>
    <row r="279" spans="3:3" x14ac:dyDescent="0.3">
      <c r="C279" s="82" t="str">
        <f t="shared" si="7"/>
        <v/>
      </c>
    </row>
    <row r="280" spans="3:3" x14ac:dyDescent="0.3">
      <c r="C280" s="82" t="str">
        <f t="shared" si="7"/>
        <v/>
      </c>
    </row>
    <row r="281" spans="3:3" x14ac:dyDescent="0.3">
      <c r="C281" s="82" t="str">
        <f t="shared" si="7"/>
        <v/>
      </c>
    </row>
    <row r="282" spans="3:3" x14ac:dyDescent="0.3">
      <c r="C282" s="82" t="str">
        <f t="shared" si="7"/>
        <v/>
      </c>
    </row>
    <row r="283" spans="3:3" x14ac:dyDescent="0.3">
      <c r="C283" s="82" t="str">
        <f t="shared" si="7"/>
        <v/>
      </c>
    </row>
    <row r="284" spans="3:3" x14ac:dyDescent="0.3">
      <c r="C284" s="82" t="str">
        <f t="shared" si="7"/>
        <v/>
      </c>
    </row>
    <row r="285" spans="3:3" x14ac:dyDescent="0.3">
      <c r="C285" s="82" t="str">
        <f t="shared" si="7"/>
        <v/>
      </c>
    </row>
    <row r="286" spans="3:3" x14ac:dyDescent="0.3">
      <c r="C286" s="82" t="str">
        <f t="shared" si="7"/>
        <v/>
      </c>
    </row>
    <row r="287" spans="3:3" x14ac:dyDescent="0.3">
      <c r="C287" s="82" t="str">
        <f t="shared" si="7"/>
        <v/>
      </c>
    </row>
    <row r="288" spans="3:3" x14ac:dyDescent="0.3">
      <c r="C288" s="82" t="str">
        <f t="shared" si="7"/>
        <v/>
      </c>
    </row>
    <row r="289" spans="3:3" x14ac:dyDescent="0.3">
      <c r="C289" s="82" t="str">
        <f t="shared" si="7"/>
        <v/>
      </c>
    </row>
    <row r="290" spans="3:3" x14ac:dyDescent="0.3">
      <c r="C290" s="82" t="str">
        <f t="shared" si="7"/>
        <v/>
      </c>
    </row>
    <row r="291" spans="3:3" x14ac:dyDescent="0.3">
      <c r="C291" s="82" t="str">
        <f t="shared" si="7"/>
        <v/>
      </c>
    </row>
    <row r="292" spans="3:3" x14ac:dyDescent="0.3">
      <c r="C292" s="82" t="str">
        <f t="shared" si="7"/>
        <v/>
      </c>
    </row>
    <row r="293" spans="3:3" x14ac:dyDescent="0.3">
      <c r="C293" s="82" t="str">
        <f t="shared" si="7"/>
        <v/>
      </c>
    </row>
    <row r="294" spans="3:3" x14ac:dyDescent="0.3">
      <c r="C294" s="82" t="str">
        <f t="shared" si="7"/>
        <v/>
      </c>
    </row>
    <row r="295" spans="3:3" x14ac:dyDescent="0.3">
      <c r="C295" s="82" t="str">
        <f t="shared" si="7"/>
        <v/>
      </c>
    </row>
    <row r="296" spans="3:3" x14ac:dyDescent="0.3">
      <c r="C296" s="82" t="str">
        <f t="shared" si="7"/>
        <v/>
      </c>
    </row>
    <row r="297" spans="3:3" x14ac:dyDescent="0.3">
      <c r="C297" s="82" t="str">
        <f t="shared" si="7"/>
        <v/>
      </c>
    </row>
    <row r="298" spans="3:3" x14ac:dyDescent="0.3">
      <c r="C298" s="82" t="str">
        <f t="shared" si="7"/>
        <v/>
      </c>
    </row>
    <row r="299" spans="3:3" x14ac:dyDescent="0.3">
      <c r="C299" s="82" t="str">
        <f t="shared" si="7"/>
        <v/>
      </c>
    </row>
    <row r="300" spans="3:3" x14ac:dyDescent="0.3">
      <c r="C300" s="82" t="str">
        <f t="shared" si="7"/>
        <v/>
      </c>
    </row>
    <row r="301" spans="3:3" x14ac:dyDescent="0.3">
      <c r="C301" s="82" t="str">
        <f t="shared" si="7"/>
        <v/>
      </c>
    </row>
    <row r="302" spans="3:3" x14ac:dyDescent="0.3">
      <c r="C302" s="82" t="str">
        <f t="shared" si="7"/>
        <v/>
      </c>
    </row>
    <row r="303" spans="3:3" x14ac:dyDescent="0.3">
      <c r="C303" s="82" t="str">
        <f t="shared" si="7"/>
        <v/>
      </c>
    </row>
    <row r="304" spans="3:3" x14ac:dyDescent="0.3">
      <c r="C304" s="82" t="str">
        <f t="shared" si="7"/>
        <v/>
      </c>
    </row>
    <row r="305" spans="3:3" x14ac:dyDescent="0.3">
      <c r="C305" s="82" t="str">
        <f t="shared" si="7"/>
        <v/>
      </c>
    </row>
    <row r="306" spans="3:3" x14ac:dyDescent="0.3">
      <c r="C306" s="82" t="str">
        <f t="shared" si="7"/>
        <v/>
      </c>
    </row>
    <row r="307" spans="3:3" x14ac:dyDescent="0.3">
      <c r="C307" s="82" t="str">
        <f t="shared" si="7"/>
        <v/>
      </c>
    </row>
    <row r="308" spans="3:3" x14ac:dyDescent="0.3">
      <c r="C308" s="82" t="str">
        <f t="shared" si="7"/>
        <v/>
      </c>
    </row>
    <row r="309" spans="3:3" x14ac:dyDescent="0.3">
      <c r="C309" s="82" t="str">
        <f t="shared" si="7"/>
        <v/>
      </c>
    </row>
    <row r="310" spans="3:3" x14ac:dyDescent="0.3">
      <c r="C310" s="82" t="str">
        <f t="shared" si="7"/>
        <v/>
      </c>
    </row>
    <row r="311" spans="3:3" x14ac:dyDescent="0.3">
      <c r="C311" s="82" t="str">
        <f t="shared" si="7"/>
        <v/>
      </c>
    </row>
    <row r="312" spans="3:3" x14ac:dyDescent="0.3">
      <c r="C312" s="82" t="str">
        <f t="shared" si="7"/>
        <v/>
      </c>
    </row>
    <row r="313" spans="3:3" x14ac:dyDescent="0.3">
      <c r="C313" s="82" t="str">
        <f t="shared" si="7"/>
        <v/>
      </c>
    </row>
    <row r="314" spans="3:3" x14ac:dyDescent="0.3">
      <c r="C314" s="82" t="str">
        <f t="shared" si="7"/>
        <v/>
      </c>
    </row>
    <row r="315" spans="3:3" x14ac:dyDescent="0.3">
      <c r="C315" s="82" t="str">
        <f t="shared" ref="C315:C378" si="8">IF(ISBLANK(B315),"",PROPER(TEXT(B315,"MMMM")))</f>
        <v/>
      </c>
    </row>
    <row r="316" spans="3:3" x14ac:dyDescent="0.3">
      <c r="C316" s="82" t="str">
        <f t="shared" si="8"/>
        <v/>
      </c>
    </row>
    <row r="317" spans="3:3" x14ac:dyDescent="0.3">
      <c r="C317" s="82" t="str">
        <f t="shared" si="8"/>
        <v/>
      </c>
    </row>
    <row r="318" spans="3:3" x14ac:dyDescent="0.3">
      <c r="C318" s="82" t="str">
        <f t="shared" si="8"/>
        <v/>
      </c>
    </row>
    <row r="319" spans="3:3" x14ac:dyDescent="0.3">
      <c r="C319" s="82" t="str">
        <f t="shared" si="8"/>
        <v/>
      </c>
    </row>
    <row r="320" spans="3:3" x14ac:dyDescent="0.3">
      <c r="C320" s="82" t="str">
        <f t="shared" si="8"/>
        <v/>
      </c>
    </row>
    <row r="321" spans="3:3" x14ac:dyDescent="0.3">
      <c r="C321" s="82" t="str">
        <f t="shared" si="8"/>
        <v/>
      </c>
    </row>
    <row r="322" spans="3:3" x14ac:dyDescent="0.3">
      <c r="C322" s="82" t="str">
        <f t="shared" si="8"/>
        <v/>
      </c>
    </row>
    <row r="323" spans="3:3" x14ac:dyDescent="0.3">
      <c r="C323" s="82" t="str">
        <f t="shared" si="8"/>
        <v/>
      </c>
    </row>
    <row r="324" spans="3:3" x14ac:dyDescent="0.3">
      <c r="C324" s="82" t="str">
        <f t="shared" si="8"/>
        <v/>
      </c>
    </row>
    <row r="325" spans="3:3" x14ac:dyDescent="0.3">
      <c r="C325" s="82" t="str">
        <f t="shared" si="8"/>
        <v/>
      </c>
    </row>
    <row r="326" spans="3:3" x14ac:dyDescent="0.3">
      <c r="C326" s="82" t="str">
        <f t="shared" si="8"/>
        <v/>
      </c>
    </row>
    <row r="327" spans="3:3" x14ac:dyDescent="0.3">
      <c r="C327" s="82" t="str">
        <f t="shared" si="8"/>
        <v/>
      </c>
    </row>
    <row r="328" spans="3:3" x14ac:dyDescent="0.3">
      <c r="C328" s="82" t="str">
        <f t="shared" si="8"/>
        <v/>
      </c>
    </row>
    <row r="329" spans="3:3" x14ac:dyDescent="0.3">
      <c r="C329" s="82" t="str">
        <f t="shared" si="8"/>
        <v/>
      </c>
    </row>
    <row r="330" spans="3:3" x14ac:dyDescent="0.3">
      <c r="C330" s="82" t="str">
        <f t="shared" si="8"/>
        <v/>
      </c>
    </row>
    <row r="331" spans="3:3" x14ac:dyDescent="0.3">
      <c r="C331" s="82" t="str">
        <f t="shared" si="8"/>
        <v/>
      </c>
    </row>
    <row r="332" spans="3:3" x14ac:dyDescent="0.3">
      <c r="C332" s="82" t="str">
        <f t="shared" si="8"/>
        <v/>
      </c>
    </row>
    <row r="333" spans="3:3" x14ac:dyDescent="0.3">
      <c r="C333" s="82" t="str">
        <f t="shared" si="8"/>
        <v/>
      </c>
    </row>
    <row r="334" spans="3:3" x14ac:dyDescent="0.3">
      <c r="C334" s="82" t="str">
        <f t="shared" si="8"/>
        <v/>
      </c>
    </row>
    <row r="335" spans="3:3" x14ac:dyDescent="0.3">
      <c r="C335" s="82" t="str">
        <f t="shared" si="8"/>
        <v/>
      </c>
    </row>
    <row r="336" spans="3:3" x14ac:dyDescent="0.3">
      <c r="C336" s="82" t="str">
        <f t="shared" si="8"/>
        <v/>
      </c>
    </row>
    <row r="337" spans="3:3" x14ac:dyDescent="0.3">
      <c r="C337" s="82" t="str">
        <f t="shared" si="8"/>
        <v/>
      </c>
    </row>
    <row r="338" spans="3:3" x14ac:dyDescent="0.3">
      <c r="C338" s="82" t="str">
        <f t="shared" si="8"/>
        <v/>
      </c>
    </row>
    <row r="339" spans="3:3" x14ac:dyDescent="0.3">
      <c r="C339" s="82" t="str">
        <f t="shared" si="8"/>
        <v/>
      </c>
    </row>
    <row r="340" spans="3:3" x14ac:dyDescent="0.3">
      <c r="C340" s="82" t="str">
        <f t="shared" si="8"/>
        <v/>
      </c>
    </row>
    <row r="341" spans="3:3" x14ac:dyDescent="0.3">
      <c r="C341" s="82" t="str">
        <f t="shared" si="8"/>
        <v/>
      </c>
    </row>
    <row r="342" spans="3:3" x14ac:dyDescent="0.3">
      <c r="C342" s="82" t="str">
        <f t="shared" si="8"/>
        <v/>
      </c>
    </row>
    <row r="343" spans="3:3" x14ac:dyDescent="0.3">
      <c r="C343" s="82" t="str">
        <f t="shared" si="8"/>
        <v/>
      </c>
    </row>
    <row r="344" spans="3:3" x14ac:dyDescent="0.3">
      <c r="C344" s="82" t="str">
        <f t="shared" si="8"/>
        <v/>
      </c>
    </row>
    <row r="345" spans="3:3" x14ac:dyDescent="0.3">
      <c r="C345" s="82" t="str">
        <f t="shared" si="8"/>
        <v/>
      </c>
    </row>
    <row r="346" spans="3:3" x14ac:dyDescent="0.3">
      <c r="C346" s="82" t="str">
        <f t="shared" si="8"/>
        <v/>
      </c>
    </row>
    <row r="347" spans="3:3" x14ac:dyDescent="0.3">
      <c r="C347" s="82" t="str">
        <f t="shared" si="8"/>
        <v/>
      </c>
    </row>
    <row r="348" spans="3:3" x14ac:dyDescent="0.3">
      <c r="C348" s="82" t="str">
        <f t="shared" si="8"/>
        <v/>
      </c>
    </row>
    <row r="349" spans="3:3" x14ac:dyDescent="0.3">
      <c r="C349" s="82" t="str">
        <f t="shared" si="8"/>
        <v/>
      </c>
    </row>
    <row r="350" spans="3:3" x14ac:dyDescent="0.3">
      <c r="C350" s="82" t="str">
        <f t="shared" si="8"/>
        <v/>
      </c>
    </row>
    <row r="351" spans="3:3" x14ac:dyDescent="0.3">
      <c r="C351" s="82" t="str">
        <f t="shared" si="8"/>
        <v/>
      </c>
    </row>
    <row r="352" spans="3:3" x14ac:dyDescent="0.3">
      <c r="C352" s="82" t="str">
        <f t="shared" si="8"/>
        <v/>
      </c>
    </row>
    <row r="353" spans="3:3" x14ac:dyDescent="0.3">
      <c r="C353" s="82" t="str">
        <f t="shared" si="8"/>
        <v/>
      </c>
    </row>
    <row r="354" spans="3:3" x14ac:dyDescent="0.3">
      <c r="C354" s="82" t="str">
        <f t="shared" si="8"/>
        <v/>
      </c>
    </row>
    <row r="355" spans="3:3" x14ac:dyDescent="0.3">
      <c r="C355" s="82" t="str">
        <f t="shared" si="8"/>
        <v/>
      </c>
    </row>
    <row r="356" spans="3:3" x14ac:dyDescent="0.3">
      <c r="C356" s="82" t="str">
        <f t="shared" si="8"/>
        <v/>
      </c>
    </row>
    <row r="357" spans="3:3" x14ac:dyDescent="0.3">
      <c r="C357" s="82" t="str">
        <f t="shared" si="8"/>
        <v/>
      </c>
    </row>
    <row r="358" spans="3:3" x14ac:dyDescent="0.3">
      <c r="C358" s="82" t="str">
        <f t="shared" si="8"/>
        <v/>
      </c>
    </row>
    <row r="359" spans="3:3" x14ac:dyDescent="0.3">
      <c r="C359" s="82" t="str">
        <f t="shared" si="8"/>
        <v/>
      </c>
    </row>
    <row r="360" spans="3:3" x14ac:dyDescent="0.3">
      <c r="C360" s="82" t="str">
        <f t="shared" si="8"/>
        <v/>
      </c>
    </row>
    <row r="361" spans="3:3" x14ac:dyDescent="0.3">
      <c r="C361" s="82" t="str">
        <f t="shared" si="8"/>
        <v/>
      </c>
    </row>
    <row r="362" spans="3:3" x14ac:dyDescent="0.3">
      <c r="C362" s="82" t="str">
        <f t="shared" si="8"/>
        <v/>
      </c>
    </row>
    <row r="363" spans="3:3" x14ac:dyDescent="0.3">
      <c r="C363" s="82" t="str">
        <f t="shared" si="8"/>
        <v/>
      </c>
    </row>
    <row r="364" spans="3:3" x14ac:dyDescent="0.3">
      <c r="C364" s="82" t="str">
        <f t="shared" si="8"/>
        <v/>
      </c>
    </row>
    <row r="365" spans="3:3" x14ac:dyDescent="0.3">
      <c r="C365" s="82" t="str">
        <f t="shared" si="8"/>
        <v/>
      </c>
    </row>
    <row r="366" spans="3:3" x14ac:dyDescent="0.3">
      <c r="C366" s="82" t="str">
        <f t="shared" si="8"/>
        <v/>
      </c>
    </row>
    <row r="367" spans="3:3" x14ac:dyDescent="0.3">
      <c r="C367" s="82" t="str">
        <f t="shared" si="8"/>
        <v/>
      </c>
    </row>
    <row r="368" spans="3:3" x14ac:dyDescent="0.3">
      <c r="C368" s="82" t="str">
        <f t="shared" si="8"/>
        <v/>
      </c>
    </row>
    <row r="369" spans="3:3" x14ac:dyDescent="0.3">
      <c r="C369" s="82" t="str">
        <f t="shared" si="8"/>
        <v/>
      </c>
    </row>
    <row r="370" spans="3:3" x14ac:dyDescent="0.3">
      <c r="C370" s="82" t="str">
        <f t="shared" si="8"/>
        <v/>
      </c>
    </row>
    <row r="371" spans="3:3" x14ac:dyDescent="0.3">
      <c r="C371" s="82" t="str">
        <f t="shared" si="8"/>
        <v/>
      </c>
    </row>
    <row r="372" spans="3:3" x14ac:dyDescent="0.3">
      <c r="C372" s="82" t="str">
        <f t="shared" si="8"/>
        <v/>
      </c>
    </row>
    <row r="373" spans="3:3" x14ac:dyDescent="0.3">
      <c r="C373" s="82" t="str">
        <f t="shared" si="8"/>
        <v/>
      </c>
    </row>
    <row r="374" spans="3:3" x14ac:dyDescent="0.3">
      <c r="C374" s="82" t="str">
        <f t="shared" si="8"/>
        <v/>
      </c>
    </row>
    <row r="375" spans="3:3" x14ac:dyDescent="0.3">
      <c r="C375" s="82" t="str">
        <f t="shared" si="8"/>
        <v/>
      </c>
    </row>
    <row r="376" spans="3:3" x14ac:dyDescent="0.3">
      <c r="C376" s="82" t="str">
        <f t="shared" si="8"/>
        <v/>
      </c>
    </row>
    <row r="377" spans="3:3" x14ac:dyDescent="0.3">
      <c r="C377" s="82" t="str">
        <f t="shared" si="8"/>
        <v/>
      </c>
    </row>
    <row r="378" spans="3:3" x14ac:dyDescent="0.3">
      <c r="C378" s="82" t="str">
        <f t="shared" si="8"/>
        <v/>
      </c>
    </row>
    <row r="379" spans="3:3" x14ac:dyDescent="0.3">
      <c r="C379" s="82" t="str">
        <f t="shared" ref="C379:C442" si="9">IF(ISBLANK(B379),"",PROPER(TEXT(B379,"MMMM")))</f>
        <v/>
      </c>
    </row>
    <row r="380" spans="3:3" x14ac:dyDescent="0.3">
      <c r="C380" s="82" t="str">
        <f t="shared" si="9"/>
        <v/>
      </c>
    </row>
    <row r="381" spans="3:3" x14ac:dyDescent="0.3">
      <c r="C381" s="82" t="str">
        <f t="shared" si="9"/>
        <v/>
      </c>
    </row>
    <row r="382" spans="3:3" x14ac:dyDescent="0.3">
      <c r="C382" s="82" t="str">
        <f t="shared" si="9"/>
        <v/>
      </c>
    </row>
    <row r="383" spans="3:3" x14ac:dyDescent="0.3">
      <c r="C383" s="82" t="str">
        <f t="shared" si="9"/>
        <v/>
      </c>
    </row>
    <row r="384" spans="3:3" x14ac:dyDescent="0.3">
      <c r="C384" s="82" t="str">
        <f t="shared" si="9"/>
        <v/>
      </c>
    </row>
    <row r="385" spans="3:3" x14ac:dyDescent="0.3">
      <c r="C385" s="82" t="str">
        <f t="shared" si="9"/>
        <v/>
      </c>
    </row>
    <row r="386" spans="3:3" x14ac:dyDescent="0.3">
      <c r="C386" s="82" t="str">
        <f t="shared" si="9"/>
        <v/>
      </c>
    </row>
    <row r="387" spans="3:3" x14ac:dyDescent="0.3">
      <c r="C387" s="82" t="str">
        <f t="shared" si="9"/>
        <v/>
      </c>
    </row>
    <row r="388" spans="3:3" x14ac:dyDescent="0.3">
      <c r="C388" s="82" t="str">
        <f t="shared" si="9"/>
        <v/>
      </c>
    </row>
    <row r="389" spans="3:3" x14ac:dyDescent="0.3">
      <c r="C389" s="82" t="str">
        <f t="shared" si="9"/>
        <v/>
      </c>
    </row>
    <row r="390" spans="3:3" x14ac:dyDescent="0.3">
      <c r="C390" s="82" t="str">
        <f t="shared" si="9"/>
        <v/>
      </c>
    </row>
    <row r="391" spans="3:3" x14ac:dyDescent="0.3">
      <c r="C391" s="82" t="str">
        <f t="shared" si="9"/>
        <v/>
      </c>
    </row>
    <row r="392" spans="3:3" x14ac:dyDescent="0.3">
      <c r="C392" s="82" t="str">
        <f t="shared" si="9"/>
        <v/>
      </c>
    </row>
    <row r="393" spans="3:3" x14ac:dyDescent="0.3">
      <c r="C393" s="82" t="str">
        <f t="shared" si="9"/>
        <v/>
      </c>
    </row>
    <row r="394" spans="3:3" x14ac:dyDescent="0.3">
      <c r="C394" s="82" t="str">
        <f t="shared" si="9"/>
        <v/>
      </c>
    </row>
    <row r="395" spans="3:3" x14ac:dyDescent="0.3">
      <c r="C395" s="82" t="str">
        <f t="shared" si="9"/>
        <v/>
      </c>
    </row>
    <row r="396" spans="3:3" x14ac:dyDescent="0.3">
      <c r="C396" s="82" t="str">
        <f t="shared" si="9"/>
        <v/>
      </c>
    </row>
    <row r="397" spans="3:3" x14ac:dyDescent="0.3">
      <c r="C397" s="82" t="str">
        <f t="shared" si="9"/>
        <v/>
      </c>
    </row>
    <row r="398" spans="3:3" x14ac:dyDescent="0.3">
      <c r="C398" s="82" t="str">
        <f t="shared" si="9"/>
        <v/>
      </c>
    </row>
    <row r="399" spans="3:3" x14ac:dyDescent="0.3">
      <c r="C399" s="82" t="str">
        <f t="shared" si="9"/>
        <v/>
      </c>
    </row>
    <row r="400" spans="3:3" x14ac:dyDescent="0.3">
      <c r="C400" s="82" t="str">
        <f t="shared" si="9"/>
        <v/>
      </c>
    </row>
    <row r="401" spans="3:3" x14ac:dyDescent="0.3">
      <c r="C401" s="82" t="str">
        <f t="shared" si="9"/>
        <v/>
      </c>
    </row>
    <row r="402" spans="3:3" x14ac:dyDescent="0.3">
      <c r="C402" s="82" t="str">
        <f t="shared" si="9"/>
        <v/>
      </c>
    </row>
    <row r="403" spans="3:3" x14ac:dyDescent="0.3">
      <c r="C403" s="82" t="str">
        <f t="shared" si="9"/>
        <v/>
      </c>
    </row>
    <row r="404" spans="3:3" x14ac:dyDescent="0.3">
      <c r="C404" s="82" t="str">
        <f t="shared" si="9"/>
        <v/>
      </c>
    </row>
    <row r="405" spans="3:3" x14ac:dyDescent="0.3">
      <c r="C405" s="82" t="str">
        <f t="shared" si="9"/>
        <v/>
      </c>
    </row>
    <row r="406" spans="3:3" x14ac:dyDescent="0.3">
      <c r="C406" s="82" t="str">
        <f t="shared" si="9"/>
        <v/>
      </c>
    </row>
    <row r="407" spans="3:3" x14ac:dyDescent="0.3">
      <c r="C407" s="82" t="str">
        <f t="shared" si="9"/>
        <v/>
      </c>
    </row>
    <row r="408" spans="3:3" x14ac:dyDescent="0.3">
      <c r="C408" s="82" t="str">
        <f t="shared" si="9"/>
        <v/>
      </c>
    </row>
    <row r="409" spans="3:3" x14ac:dyDescent="0.3">
      <c r="C409" s="82" t="str">
        <f t="shared" si="9"/>
        <v/>
      </c>
    </row>
    <row r="410" spans="3:3" x14ac:dyDescent="0.3">
      <c r="C410" s="82" t="str">
        <f t="shared" si="9"/>
        <v/>
      </c>
    </row>
    <row r="411" spans="3:3" x14ac:dyDescent="0.3">
      <c r="C411" s="82" t="str">
        <f t="shared" si="9"/>
        <v/>
      </c>
    </row>
    <row r="412" spans="3:3" x14ac:dyDescent="0.3">
      <c r="C412" s="82" t="str">
        <f t="shared" si="9"/>
        <v/>
      </c>
    </row>
    <row r="413" spans="3:3" x14ac:dyDescent="0.3">
      <c r="C413" s="82" t="str">
        <f t="shared" si="9"/>
        <v/>
      </c>
    </row>
    <row r="414" spans="3:3" x14ac:dyDescent="0.3">
      <c r="C414" s="82" t="str">
        <f t="shared" si="9"/>
        <v/>
      </c>
    </row>
    <row r="415" spans="3:3" x14ac:dyDescent="0.3">
      <c r="C415" s="82" t="str">
        <f t="shared" si="9"/>
        <v/>
      </c>
    </row>
    <row r="416" spans="3:3" x14ac:dyDescent="0.3">
      <c r="C416" s="82" t="str">
        <f t="shared" si="9"/>
        <v/>
      </c>
    </row>
    <row r="417" spans="3:3" x14ac:dyDescent="0.3">
      <c r="C417" s="82" t="str">
        <f t="shared" si="9"/>
        <v/>
      </c>
    </row>
    <row r="418" spans="3:3" x14ac:dyDescent="0.3">
      <c r="C418" s="82" t="str">
        <f t="shared" si="9"/>
        <v/>
      </c>
    </row>
    <row r="419" spans="3:3" x14ac:dyDescent="0.3">
      <c r="C419" s="82" t="str">
        <f t="shared" si="9"/>
        <v/>
      </c>
    </row>
    <row r="420" spans="3:3" x14ac:dyDescent="0.3">
      <c r="C420" s="82" t="str">
        <f t="shared" si="9"/>
        <v/>
      </c>
    </row>
    <row r="421" spans="3:3" x14ac:dyDescent="0.3">
      <c r="C421" s="82" t="str">
        <f t="shared" si="9"/>
        <v/>
      </c>
    </row>
    <row r="422" spans="3:3" x14ac:dyDescent="0.3">
      <c r="C422" s="82" t="str">
        <f t="shared" si="9"/>
        <v/>
      </c>
    </row>
    <row r="423" spans="3:3" x14ac:dyDescent="0.3">
      <c r="C423" s="82" t="str">
        <f t="shared" si="9"/>
        <v/>
      </c>
    </row>
    <row r="424" spans="3:3" x14ac:dyDescent="0.3">
      <c r="C424" s="82" t="str">
        <f t="shared" si="9"/>
        <v/>
      </c>
    </row>
    <row r="425" spans="3:3" x14ac:dyDescent="0.3">
      <c r="C425" s="82" t="str">
        <f t="shared" si="9"/>
        <v/>
      </c>
    </row>
    <row r="426" spans="3:3" x14ac:dyDescent="0.3">
      <c r="C426" s="82" t="str">
        <f t="shared" si="9"/>
        <v/>
      </c>
    </row>
    <row r="427" spans="3:3" x14ac:dyDescent="0.3">
      <c r="C427" s="82" t="str">
        <f t="shared" si="9"/>
        <v/>
      </c>
    </row>
    <row r="428" spans="3:3" x14ac:dyDescent="0.3">
      <c r="C428" s="82" t="str">
        <f t="shared" si="9"/>
        <v/>
      </c>
    </row>
    <row r="429" spans="3:3" x14ac:dyDescent="0.3">
      <c r="C429" s="82" t="str">
        <f t="shared" si="9"/>
        <v/>
      </c>
    </row>
    <row r="430" spans="3:3" x14ac:dyDescent="0.3">
      <c r="C430" s="82" t="str">
        <f t="shared" si="9"/>
        <v/>
      </c>
    </row>
    <row r="431" spans="3:3" x14ac:dyDescent="0.3">
      <c r="C431" s="82" t="str">
        <f t="shared" si="9"/>
        <v/>
      </c>
    </row>
    <row r="432" spans="3:3" x14ac:dyDescent="0.3">
      <c r="C432" s="82" t="str">
        <f t="shared" si="9"/>
        <v/>
      </c>
    </row>
    <row r="433" spans="3:3" x14ac:dyDescent="0.3">
      <c r="C433" s="82" t="str">
        <f t="shared" si="9"/>
        <v/>
      </c>
    </row>
    <row r="434" spans="3:3" x14ac:dyDescent="0.3">
      <c r="C434" s="82" t="str">
        <f t="shared" si="9"/>
        <v/>
      </c>
    </row>
    <row r="435" spans="3:3" x14ac:dyDescent="0.3">
      <c r="C435" s="82" t="str">
        <f t="shared" si="9"/>
        <v/>
      </c>
    </row>
    <row r="436" spans="3:3" x14ac:dyDescent="0.3">
      <c r="C436" s="82" t="str">
        <f t="shared" si="9"/>
        <v/>
      </c>
    </row>
    <row r="437" spans="3:3" x14ac:dyDescent="0.3">
      <c r="C437" s="82" t="str">
        <f t="shared" si="9"/>
        <v/>
      </c>
    </row>
    <row r="438" spans="3:3" x14ac:dyDescent="0.3">
      <c r="C438" s="82" t="str">
        <f t="shared" si="9"/>
        <v/>
      </c>
    </row>
    <row r="439" spans="3:3" x14ac:dyDescent="0.3">
      <c r="C439" s="82" t="str">
        <f t="shared" si="9"/>
        <v/>
      </c>
    </row>
    <row r="440" spans="3:3" x14ac:dyDescent="0.3">
      <c r="C440" s="82" t="str">
        <f t="shared" si="9"/>
        <v/>
      </c>
    </row>
    <row r="441" spans="3:3" x14ac:dyDescent="0.3">
      <c r="C441" s="82" t="str">
        <f t="shared" si="9"/>
        <v/>
      </c>
    </row>
    <row r="442" spans="3:3" x14ac:dyDescent="0.3">
      <c r="C442" s="82" t="str">
        <f t="shared" si="9"/>
        <v/>
      </c>
    </row>
    <row r="443" spans="3:3" x14ac:dyDescent="0.3">
      <c r="C443" s="82" t="str">
        <f t="shared" ref="C443:C506" si="10">IF(ISBLANK(B443),"",PROPER(TEXT(B443,"MMMM")))</f>
        <v/>
      </c>
    </row>
    <row r="444" spans="3:3" x14ac:dyDescent="0.3">
      <c r="C444" s="82" t="str">
        <f t="shared" si="10"/>
        <v/>
      </c>
    </row>
    <row r="445" spans="3:3" x14ac:dyDescent="0.3">
      <c r="C445" s="82" t="str">
        <f t="shared" si="10"/>
        <v/>
      </c>
    </row>
    <row r="446" spans="3:3" x14ac:dyDescent="0.3">
      <c r="C446" s="82" t="str">
        <f t="shared" si="10"/>
        <v/>
      </c>
    </row>
    <row r="447" spans="3:3" x14ac:dyDescent="0.3">
      <c r="C447" s="82" t="str">
        <f t="shared" si="10"/>
        <v/>
      </c>
    </row>
    <row r="448" spans="3:3" x14ac:dyDescent="0.3">
      <c r="C448" s="82" t="str">
        <f t="shared" si="10"/>
        <v/>
      </c>
    </row>
    <row r="449" spans="3:3" x14ac:dyDescent="0.3">
      <c r="C449" s="82" t="str">
        <f t="shared" si="10"/>
        <v/>
      </c>
    </row>
    <row r="450" spans="3:3" x14ac:dyDescent="0.3">
      <c r="C450" s="82" t="str">
        <f t="shared" si="10"/>
        <v/>
      </c>
    </row>
    <row r="451" spans="3:3" x14ac:dyDescent="0.3">
      <c r="C451" s="82" t="str">
        <f t="shared" si="10"/>
        <v/>
      </c>
    </row>
    <row r="452" spans="3:3" x14ac:dyDescent="0.3">
      <c r="C452" s="82" t="str">
        <f t="shared" si="10"/>
        <v/>
      </c>
    </row>
    <row r="453" spans="3:3" x14ac:dyDescent="0.3">
      <c r="C453" s="82" t="str">
        <f t="shared" si="10"/>
        <v/>
      </c>
    </row>
    <row r="454" spans="3:3" x14ac:dyDescent="0.3">
      <c r="C454" s="82" t="str">
        <f t="shared" si="10"/>
        <v/>
      </c>
    </row>
    <row r="455" spans="3:3" x14ac:dyDescent="0.3">
      <c r="C455" s="82" t="str">
        <f t="shared" si="10"/>
        <v/>
      </c>
    </row>
    <row r="456" spans="3:3" x14ac:dyDescent="0.3">
      <c r="C456" s="82" t="str">
        <f t="shared" si="10"/>
        <v/>
      </c>
    </row>
    <row r="457" spans="3:3" x14ac:dyDescent="0.3">
      <c r="C457" s="82" t="str">
        <f t="shared" si="10"/>
        <v/>
      </c>
    </row>
    <row r="458" spans="3:3" x14ac:dyDescent="0.3">
      <c r="C458" s="82" t="str">
        <f t="shared" si="10"/>
        <v/>
      </c>
    </row>
    <row r="459" spans="3:3" x14ac:dyDescent="0.3">
      <c r="C459" s="82" t="str">
        <f t="shared" si="10"/>
        <v/>
      </c>
    </row>
    <row r="460" spans="3:3" x14ac:dyDescent="0.3">
      <c r="C460" s="82" t="str">
        <f t="shared" si="10"/>
        <v/>
      </c>
    </row>
    <row r="461" spans="3:3" x14ac:dyDescent="0.3">
      <c r="C461" s="82" t="str">
        <f t="shared" si="10"/>
        <v/>
      </c>
    </row>
    <row r="462" spans="3:3" x14ac:dyDescent="0.3">
      <c r="C462" s="82" t="str">
        <f t="shared" si="10"/>
        <v/>
      </c>
    </row>
    <row r="463" spans="3:3" x14ac:dyDescent="0.3">
      <c r="C463" s="82" t="str">
        <f t="shared" si="10"/>
        <v/>
      </c>
    </row>
    <row r="464" spans="3:3" x14ac:dyDescent="0.3">
      <c r="C464" s="82" t="str">
        <f t="shared" si="10"/>
        <v/>
      </c>
    </row>
    <row r="465" spans="3:3" x14ac:dyDescent="0.3">
      <c r="C465" s="82" t="str">
        <f t="shared" si="10"/>
        <v/>
      </c>
    </row>
    <row r="466" spans="3:3" x14ac:dyDescent="0.3">
      <c r="C466" s="82" t="str">
        <f t="shared" si="10"/>
        <v/>
      </c>
    </row>
    <row r="467" spans="3:3" x14ac:dyDescent="0.3">
      <c r="C467" s="82" t="str">
        <f t="shared" si="10"/>
        <v/>
      </c>
    </row>
    <row r="468" spans="3:3" x14ac:dyDescent="0.3">
      <c r="C468" s="82" t="str">
        <f t="shared" si="10"/>
        <v/>
      </c>
    </row>
    <row r="469" spans="3:3" x14ac:dyDescent="0.3">
      <c r="C469" s="82" t="str">
        <f t="shared" si="10"/>
        <v/>
      </c>
    </row>
    <row r="470" spans="3:3" x14ac:dyDescent="0.3">
      <c r="C470" s="82" t="str">
        <f t="shared" si="10"/>
        <v/>
      </c>
    </row>
    <row r="471" spans="3:3" x14ac:dyDescent="0.3">
      <c r="C471" s="82" t="str">
        <f t="shared" si="10"/>
        <v/>
      </c>
    </row>
    <row r="472" spans="3:3" x14ac:dyDescent="0.3">
      <c r="C472" s="82" t="str">
        <f t="shared" si="10"/>
        <v/>
      </c>
    </row>
    <row r="473" spans="3:3" x14ac:dyDescent="0.3">
      <c r="C473" s="82" t="str">
        <f t="shared" si="10"/>
        <v/>
      </c>
    </row>
    <row r="474" spans="3:3" x14ac:dyDescent="0.3">
      <c r="C474" s="82" t="str">
        <f t="shared" si="10"/>
        <v/>
      </c>
    </row>
    <row r="475" spans="3:3" x14ac:dyDescent="0.3">
      <c r="C475" s="82" t="str">
        <f t="shared" si="10"/>
        <v/>
      </c>
    </row>
    <row r="476" spans="3:3" x14ac:dyDescent="0.3">
      <c r="C476" s="82" t="str">
        <f t="shared" si="10"/>
        <v/>
      </c>
    </row>
    <row r="477" spans="3:3" x14ac:dyDescent="0.3">
      <c r="C477" s="82" t="str">
        <f t="shared" si="10"/>
        <v/>
      </c>
    </row>
    <row r="478" spans="3:3" x14ac:dyDescent="0.3">
      <c r="C478" s="82" t="str">
        <f t="shared" si="10"/>
        <v/>
      </c>
    </row>
    <row r="479" spans="3:3" x14ac:dyDescent="0.3">
      <c r="C479" s="82" t="str">
        <f t="shared" si="10"/>
        <v/>
      </c>
    </row>
    <row r="480" spans="3:3" x14ac:dyDescent="0.3">
      <c r="C480" s="82" t="str">
        <f t="shared" si="10"/>
        <v/>
      </c>
    </row>
    <row r="481" spans="3:3" x14ac:dyDescent="0.3">
      <c r="C481" s="82" t="str">
        <f t="shared" si="10"/>
        <v/>
      </c>
    </row>
    <row r="482" spans="3:3" x14ac:dyDescent="0.3">
      <c r="C482" s="82" t="str">
        <f t="shared" si="10"/>
        <v/>
      </c>
    </row>
    <row r="483" spans="3:3" x14ac:dyDescent="0.3">
      <c r="C483" s="82" t="str">
        <f t="shared" si="10"/>
        <v/>
      </c>
    </row>
    <row r="484" spans="3:3" x14ac:dyDescent="0.3">
      <c r="C484" s="82" t="str">
        <f t="shared" si="10"/>
        <v/>
      </c>
    </row>
    <row r="485" spans="3:3" x14ac:dyDescent="0.3">
      <c r="C485" s="82" t="str">
        <f t="shared" si="10"/>
        <v/>
      </c>
    </row>
    <row r="486" spans="3:3" x14ac:dyDescent="0.3">
      <c r="C486" s="82" t="str">
        <f t="shared" si="10"/>
        <v/>
      </c>
    </row>
    <row r="487" spans="3:3" x14ac:dyDescent="0.3">
      <c r="C487" s="82" t="str">
        <f t="shared" si="10"/>
        <v/>
      </c>
    </row>
    <row r="488" spans="3:3" x14ac:dyDescent="0.3">
      <c r="C488" s="82" t="str">
        <f t="shared" si="10"/>
        <v/>
      </c>
    </row>
    <row r="489" spans="3:3" x14ac:dyDescent="0.3">
      <c r="C489" s="82" t="str">
        <f t="shared" si="10"/>
        <v/>
      </c>
    </row>
    <row r="490" spans="3:3" x14ac:dyDescent="0.3">
      <c r="C490" s="82" t="str">
        <f t="shared" si="10"/>
        <v/>
      </c>
    </row>
    <row r="491" spans="3:3" x14ac:dyDescent="0.3">
      <c r="C491" s="82" t="str">
        <f t="shared" si="10"/>
        <v/>
      </c>
    </row>
    <row r="492" spans="3:3" x14ac:dyDescent="0.3">
      <c r="C492" s="82" t="str">
        <f t="shared" si="10"/>
        <v/>
      </c>
    </row>
    <row r="493" spans="3:3" x14ac:dyDescent="0.3">
      <c r="C493" s="82" t="str">
        <f t="shared" si="10"/>
        <v/>
      </c>
    </row>
    <row r="494" spans="3:3" x14ac:dyDescent="0.3">
      <c r="C494" s="82" t="str">
        <f t="shared" si="10"/>
        <v/>
      </c>
    </row>
    <row r="495" spans="3:3" x14ac:dyDescent="0.3">
      <c r="C495" s="82" t="str">
        <f t="shared" si="10"/>
        <v/>
      </c>
    </row>
    <row r="496" spans="3:3" x14ac:dyDescent="0.3">
      <c r="C496" s="82" t="str">
        <f t="shared" si="10"/>
        <v/>
      </c>
    </row>
    <row r="497" spans="3:3" x14ac:dyDescent="0.3">
      <c r="C497" s="82" t="str">
        <f t="shared" si="10"/>
        <v/>
      </c>
    </row>
    <row r="498" spans="3:3" x14ac:dyDescent="0.3">
      <c r="C498" s="82" t="str">
        <f t="shared" si="10"/>
        <v/>
      </c>
    </row>
    <row r="499" spans="3:3" x14ac:dyDescent="0.3">
      <c r="C499" s="82" t="str">
        <f t="shared" si="10"/>
        <v/>
      </c>
    </row>
    <row r="500" spans="3:3" x14ac:dyDescent="0.3">
      <c r="C500" s="82" t="str">
        <f t="shared" si="10"/>
        <v/>
      </c>
    </row>
    <row r="501" spans="3:3" x14ac:dyDescent="0.3">
      <c r="C501" s="82" t="str">
        <f t="shared" si="10"/>
        <v/>
      </c>
    </row>
    <row r="502" spans="3:3" x14ac:dyDescent="0.3">
      <c r="C502" s="82" t="str">
        <f t="shared" si="10"/>
        <v/>
      </c>
    </row>
    <row r="503" spans="3:3" x14ac:dyDescent="0.3">
      <c r="C503" s="82" t="str">
        <f t="shared" si="10"/>
        <v/>
      </c>
    </row>
    <row r="504" spans="3:3" x14ac:dyDescent="0.3">
      <c r="C504" s="82" t="str">
        <f t="shared" si="10"/>
        <v/>
      </c>
    </row>
    <row r="505" spans="3:3" x14ac:dyDescent="0.3">
      <c r="C505" s="82" t="str">
        <f t="shared" si="10"/>
        <v/>
      </c>
    </row>
    <row r="506" spans="3:3" x14ac:dyDescent="0.3">
      <c r="C506" s="82" t="str">
        <f t="shared" si="10"/>
        <v/>
      </c>
    </row>
    <row r="507" spans="3:3" x14ac:dyDescent="0.3">
      <c r="C507" s="82" t="str">
        <f t="shared" ref="C507:C555" si="11">IF(ISBLANK(B507),"",PROPER(TEXT(B507,"MMMM")))</f>
        <v/>
      </c>
    </row>
    <row r="508" spans="3:3" x14ac:dyDescent="0.3">
      <c r="C508" s="82" t="str">
        <f t="shared" si="11"/>
        <v/>
      </c>
    </row>
    <row r="509" spans="3:3" x14ac:dyDescent="0.3">
      <c r="C509" s="82" t="str">
        <f t="shared" si="11"/>
        <v/>
      </c>
    </row>
    <row r="510" spans="3:3" x14ac:dyDescent="0.3">
      <c r="C510" s="82" t="str">
        <f t="shared" si="11"/>
        <v/>
      </c>
    </row>
    <row r="511" spans="3:3" x14ac:dyDescent="0.3">
      <c r="C511" s="82" t="str">
        <f t="shared" si="11"/>
        <v/>
      </c>
    </row>
    <row r="512" spans="3:3" x14ac:dyDescent="0.3">
      <c r="C512" s="82" t="str">
        <f t="shared" si="11"/>
        <v/>
      </c>
    </row>
    <row r="513" spans="3:3" x14ac:dyDescent="0.3">
      <c r="C513" s="82" t="str">
        <f t="shared" si="11"/>
        <v/>
      </c>
    </row>
    <row r="514" spans="3:3" x14ac:dyDescent="0.3">
      <c r="C514" s="82" t="str">
        <f t="shared" si="11"/>
        <v/>
      </c>
    </row>
    <row r="515" spans="3:3" x14ac:dyDescent="0.3">
      <c r="C515" s="82" t="str">
        <f t="shared" si="11"/>
        <v/>
      </c>
    </row>
    <row r="516" spans="3:3" x14ac:dyDescent="0.3">
      <c r="C516" s="82" t="str">
        <f t="shared" si="11"/>
        <v/>
      </c>
    </row>
    <row r="517" spans="3:3" x14ac:dyDescent="0.3">
      <c r="C517" s="82" t="str">
        <f t="shared" si="11"/>
        <v/>
      </c>
    </row>
    <row r="518" spans="3:3" x14ac:dyDescent="0.3">
      <c r="C518" s="82" t="str">
        <f t="shared" si="11"/>
        <v/>
      </c>
    </row>
    <row r="519" spans="3:3" x14ac:dyDescent="0.3">
      <c r="C519" s="82" t="str">
        <f t="shared" si="11"/>
        <v/>
      </c>
    </row>
    <row r="520" spans="3:3" x14ac:dyDescent="0.3">
      <c r="C520" s="82" t="str">
        <f t="shared" si="11"/>
        <v/>
      </c>
    </row>
    <row r="521" spans="3:3" x14ac:dyDescent="0.3">
      <c r="C521" s="82" t="str">
        <f t="shared" si="11"/>
        <v/>
      </c>
    </row>
    <row r="522" spans="3:3" x14ac:dyDescent="0.3">
      <c r="C522" s="82" t="str">
        <f t="shared" si="11"/>
        <v/>
      </c>
    </row>
    <row r="523" spans="3:3" x14ac:dyDescent="0.3">
      <c r="C523" s="82" t="str">
        <f t="shared" si="11"/>
        <v/>
      </c>
    </row>
    <row r="524" spans="3:3" x14ac:dyDescent="0.3">
      <c r="C524" s="82" t="str">
        <f t="shared" si="11"/>
        <v/>
      </c>
    </row>
    <row r="525" spans="3:3" x14ac:dyDescent="0.3">
      <c r="C525" s="82" t="str">
        <f t="shared" si="11"/>
        <v/>
      </c>
    </row>
    <row r="526" spans="3:3" x14ac:dyDescent="0.3">
      <c r="C526" s="82" t="str">
        <f t="shared" si="11"/>
        <v/>
      </c>
    </row>
    <row r="527" spans="3:3" x14ac:dyDescent="0.3">
      <c r="C527" s="82" t="str">
        <f t="shared" si="11"/>
        <v/>
      </c>
    </row>
    <row r="528" spans="3:3" x14ac:dyDescent="0.3">
      <c r="C528" s="82" t="str">
        <f t="shared" si="11"/>
        <v/>
      </c>
    </row>
    <row r="529" spans="3:3" x14ac:dyDescent="0.3">
      <c r="C529" s="82" t="str">
        <f t="shared" si="11"/>
        <v/>
      </c>
    </row>
    <row r="530" spans="3:3" x14ac:dyDescent="0.3">
      <c r="C530" s="82" t="str">
        <f t="shared" si="11"/>
        <v/>
      </c>
    </row>
    <row r="531" spans="3:3" x14ac:dyDescent="0.3">
      <c r="C531" s="82" t="str">
        <f t="shared" si="11"/>
        <v/>
      </c>
    </row>
    <row r="532" spans="3:3" x14ac:dyDescent="0.3">
      <c r="C532" s="82" t="str">
        <f t="shared" si="11"/>
        <v/>
      </c>
    </row>
    <row r="533" spans="3:3" x14ac:dyDescent="0.3">
      <c r="C533" s="82" t="str">
        <f t="shared" si="11"/>
        <v/>
      </c>
    </row>
    <row r="534" spans="3:3" x14ac:dyDescent="0.3">
      <c r="C534" s="82" t="str">
        <f t="shared" si="11"/>
        <v/>
      </c>
    </row>
    <row r="535" spans="3:3" x14ac:dyDescent="0.3">
      <c r="C535" s="82" t="str">
        <f t="shared" si="11"/>
        <v/>
      </c>
    </row>
    <row r="536" spans="3:3" x14ac:dyDescent="0.3">
      <c r="C536" s="82" t="str">
        <f t="shared" si="11"/>
        <v/>
      </c>
    </row>
    <row r="537" spans="3:3" x14ac:dyDescent="0.3">
      <c r="C537" s="82" t="str">
        <f t="shared" si="11"/>
        <v/>
      </c>
    </row>
    <row r="538" spans="3:3" x14ac:dyDescent="0.3">
      <c r="C538" s="82" t="str">
        <f t="shared" si="11"/>
        <v/>
      </c>
    </row>
    <row r="539" spans="3:3" x14ac:dyDescent="0.3">
      <c r="C539" s="82" t="str">
        <f t="shared" si="11"/>
        <v/>
      </c>
    </row>
    <row r="540" spans="3:3" x14ac:dyDescent="0.3">
      <c r="C540" s="82" t="str">
        <f t="shared" si="11"/>
        <v/>
      </c>
    </row>
    <row r="541" spans="3:3" x14ac:dyDescent="0.3">
      <c r="C541" s="82" t="str">
        <f t="shared" si="11"/>
        <v/>
      </c>
    </row>
    <row r="542" spans="3:3" x14ac:dyDescent="0.3">
      <c r="C542" s="82" t="str">
        <f t="shared" si="11"/>
        <v/>
      </c>
    </row>
    <row r="543" spans="3:3" x14ac:dyDescent="0.3">
      <c r="C543" s="82" t="str">
        <f t="shared" si="11"/>
        <v/>
      </c>
    </row>
    <row r="544" spans="3:3" x14ac:dyDescent="0.3">
      <c r="C544" s="82" t="str">
        <f t="shared" si="11"/>
        <v/>
      </c>
    </row>
    <row r="545" spans="3:3" x14ac:dyDescent="0.3">
      <c r="C545" s="82" t="str">
        <f t="shared" si="11"/>
        <v/>
      </c>
    </row>
    <row r="546" spans="3:3" x14ac:dyDescent="0.3">
      <c r="C546" s="82" t="str">
        <f t="shared" si="11"/>
        <v/>
      </c>
    </row>
    <row r="547" spans="3:3" x14ac:dyDescent="0.3">
      <c r="C547" s="82" t="str">
        <f t="shared" si="11"/>
        <v/>
      </c>
    </row>
    <row r="548" spans="3:3" x14ac:dyDescent="0.3">
      <c r="C548" s="82" t="str">
        <f t="shared" si="11"/>
        <v/>
      </c>
    </row>
    <row r="549" spans="3:3" x14ac:dyDescent="0.3">
      <c r="C549" s="82" t="str">
        <f t="shared" si="11"/>
        <v/>
      </c>
    </row>
    <row r="550" spans="3:3" x14ac:dyDescent="0.3">
      <c r="C550" s="82" t="str">
        <f t="shared" si="11"/>
        <v/>
      </c>
    </row>
    <row r="551" spans="3:3" x14ac:dyDescent="0.3">
      <c r="C551" s="82" t="str">
        <f t="shared" si="11"/>
        <v/>
      </c>
    </row>
    <row r="552" spans="3:3" x14ac:dyDescent="0.3">
      <c r="C552" s="82" t="str">
        <f t="shared" si="11"/>
        <v/>
      </c>
    </row>
    <row r="553" spans="3:3" x14ac:dyDescent="0.3">
      <c r="C553" s="82" t="str">
        <f t="shared" si="11"/>
        <v/>
      </c>
    </row>
    <row r="554" spans="3:3" x14ac:dyDescent="0.3">
      <c r="C554" s="82" t="str">
        <f t="shared" si="11"/>
        <v/>
      </c>
    </row>
    <row r="555" spans="3:3" x14ac:dyDescent="0.3">
      <c r="C555" s="82" t="str">
        <f t="shared" si="11"/>
        <v/>
      </c>
    </row>
  </sheetData>
  <phoneticPr fontId="12" type="noConversion"/>
  <conditionalFormatting sqref="C10">
    <cfRule type="cellIs" dxfId="4" priority="1" operator="equal">
      <formula>0</formula>
    </cfRule>
    <cfRule type="cellIs" dxfId="3" priority="2" operator="notEqual">
      <formula>0</formula>
    </cfRule>
  </conditionalFormatting>
  <dataValidations count="3">
    <dataValidation type="list" allowBlank="1" showInputMessage="1" showErrorMessage="1" sqref="E16:E27" xr:uid="{E4F2BDDC-1223-4DFF-8087-7B85DF038B73}">
      <formula1>INDIRECT(D16)</formula1>
    </dataValidation>
    <dataValidation type="list" allowBlank="1" showInputMessage="1" showErrorMessage="1" sqref="D16:D27" xr:uid="{4E564D7B-00FF-4101-8D9D-5EA4D9B1919A}">
      <formula1>"Receitas, Perdas, Investimentos, Despesas, Transferir"</formula1>
    </dataValidation>
    <dataValidation type="list" allowBlank="1" showInputMessage="1" showErrorMessage="1" sqref="F16:F27" xr:uid="{0D51CC9B-6F94-4F85-BAFC-26C786BB30BC}">
      <formula1>Ativos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270E47-B020-4CBF-A3A9-E523B28C14E7}">
          <x14:formula1>
            <xm:f>'Receitas - Mapa'!$B$2:$M$2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tabColor theme="0"/>
  </sheetPr>
  <dimension ref="A2:M19"/>
  <sheetViews>
    <sheetView zoomScale="110" zoomScaleNormal="110" workbookViewId="0">
      <pane xSplit="1" topLeftCell="B1" activePane="topRight" state="frozen"/>
      <selection pane="topRight" activeCell="A3" sqref="A3"/>
    </sheetView>
  </sheetViews>
  <sheetFormatPr defaultRowHeight="14.3" x14ac:dyDescent="0.25"/>
  <cols>
    <col min="1" max="1" width="15.140625" style="1" customWidth="1"/>
    <col min="2" max="13" width="15" style="1" customWidth="1"/>
    <col min="14" max="14" width="5.7109375" style="1" customWidth="1"/>
    <col min="15" max="15" width="4.28515625" style="1" customWidth="1"/>
    <col min="16" max="16384" width="9.140625" style="1"/>
  </cols>
  <sheetData>
    <row r="2" spans="1:13" ht="17.850000000000001" customHeight="1" x14ac:dyDescent="0.25">
      <c r="B2" s="11" t="str">
        <f>PROPER(TEXT("01/01","MMMM"))</f>
        <v>Janeiro</v>
      </c>
      <c r="C2" s="11" t="str">
        <f>PROPER(TEXT("01/02","MMMM"))</f>
        <v>Fevereiro</v>
      </c>
      <c r="D2" s="11" t="str">
        <f>PROPER(TEXT("01/03","MMMM"))</f>
        <v>Março</v>
      </c>
      <c r="E2" s="11" t="str">
        <f>PROPER(TEXT("01/04","MMMM"))</f>
        <v>Abril</v>
      </c>
      <c r="F2" s="11" t="str">
        <f>PROPER(TEXT("01/05","MMMM"))</f>
        <v>Maio</v>
      </c>
      <c r="G2" s="11" t="str">
        <f>PROPER(TEXT("01/06","MMMM"))</f>
        <v>Junho</v>
      </c>
      <c r="H2" s="11" t="str">
        <f>PROPER(TEXT("01/07","MMMM"))</f>
        <v>Julho</v>
      </c>
      <c r="I2" s="11" t="str">
        <f>PROPER(TEXT("01/08","MMMM"))</f>
        <v>Agosto</v>
      </c>
      <c r="J2" s="11" t="str">
        <f>PROPER(TEXT("01/09","MMMM"))</f>
        <v>Setembro</v>
      </c>
      <c r="K2" s="11" t="str">
        <f>PROPER(TEXT("01/10","MMMM"))</f>
        <v>Outubro</v>
      </c>
      <c r="L2" s="11" t="str">
        <f>PROPER(TEXT("01/11","MMMM"))</f>
        <v>Novembro</v>
      </c>
      <c r="M2" s="11" t="str">
        <f>PROPER(TEXT("01/12","MMMM"))</f>
        <v>Dezembro</v>
      </c>
    </row>
    <row r="3" spans="1:13" ht="18" customHeight="1" x14ac:dyDescent="0.25">
      <c r="A3" s="65" t="s">
        <v>43</v>
      </c>
    </row>
    <row r="4" spans="1:13" ht="18" customHeight="1" x14ac:dyDescent="0.3">
      <c r="A4" s="10" t="s">
        <v>32</v>
      </c>
      <c r="B4" s="7">
        <f>SUMIFS(Tabela1[Valor],Tabela1[Mês],B$2,Tabela1[Categoria],$A4)</f>
        <v>0</v>
      </c>
      <c r="C4" s="7">
        <f>SUMIFS(Tabela1[Valor],Tabela1[Mês],C$2,Tabela1[Categoria],$A4)</f>
        <v>0</v>
      </c>
      <c r="D4" s="7">
        <f>SUMIFS(Tabela1[Valor],Tabela1[Mês],D$2,Tabela1[Categoria],$A4)</f>
        <v>0</v>
      </c>
      <c r="E4" s="7">
        <f>SUMIFS(Tabela1[Valor],Tabela1[Mês],E$2,Tabela1[Categoria],$A4)</f>
        <v>0</v>
      </c>
      <c r="F4" s="7">
        <f>SUMIFS(Tabela1[Valor],Tabela1[Mês],F$2,Tabela1[Categoria],$A4)</f>
        <v>0</v>
      </c>
      <c r="G4" s="7">
        <f>SUMIFS(Tabela1[Valor],Tabela1[Mês],G$2,Tabela1[Categoria],$A4)</f>
        <v>0</v>
      </c>
      <c r="H4" s="34">
        <f>SUMIFS(Tabela1[Valor],Tabela1[Mês],H$2,Tabela1[Categoria],$A4)</f>
        <v>0</v>
      </c>
      <c r="I4" s="7">
        <f>SUMIFS(Tabela1[Valor],Tabela1[Mês],I$2,Tabela1[Categoria],$A4)</f>
        <v>0</v>
      </c>
      <c r="J4" s="7">
        <f>SUMIFS(Tabela1[Valor],Tabela1[Mês],J$2,Tabela1[Categoria],$A4)</f>
        <v>0</v>
      </c>
      <c r="K4" s="7">
        <f>SUMIFS(Tabela1[Valor],Tabela1[Mês],K$2,Tabela1[Categoria],$A4)</f>
        <v>150</v>
      </c>
      <c r="L4" s="7">
        <f>SUMIFS(Tabela1[Valor],Tabela1[Mês],L$2,Tabela1[Categoria],$A4)</f>
        <v>0</v>
      </c>
      <c r="M4" s="7">
        <f>SUMIFS(Tabela1[Valor],Tabela1[Mês],M$2,Tabela1[Categoria],$A4)</f>
        <v>0</v>
      </c>
    </row>
    <row r="5" spans="1:13" ht="18" customHeight="1" x14ac:dyDescent="0.3">
      <c r="A5" s="10" t="s">
        <v>45</v>
      </c>
      <c r="B5" s="7">
        <f>SUMIFS(Tabela1[Valor],Tabela1[Mês],B$2,Tabela1[Categoria],$A5)</f>
        <v>0</v>
      </c>
      <c r="C5" s="7">
        <f>SUMIFS(Tabela1[Valor],Tabela1[Mês],C$2,Tabela1[Categoria],$A5)</f>
        <v>0</v>
      </c>
      <c r="D5" s="7">
        <f>SUMIFS(Tabela1[Valor],Tabela1[Mês],D$2,Tabela1[Categoria],$A5)</f>
        <v>0</v>
      </c>
      <c r="E5" s="7">
        <f>SUMIFS(Tabela1[Valor],Tabela1[Mês],E$2,Tabela1[Categoria],$A5)</f>
        <v>0</v>
      </c>
      <c r="F5" s="7">
        <f>SUMIFS(Tabela1[Valor],Tabela1[Mês],F$2,Tabela1[Categoria],$A5)</f>
        <v>0</v>
      </c>
      <c r="G5" s="7">
        <f>SUMIFS(Tabela1[Valor],Tabela1[Mês],G$2,Tabela1[Categoria],$A5)</f>
        <v>0</v>
      </c>
      <c r="H5" s="34">
        <f>SUMIFS(Tabela1[Valor],Tabela1[Mês],H$2,Tabela1[Categoria],$A5)</f>
        <v>0</v>
      </c>
      <c r="I5" s="7">
        <f>SUMIFS(Tabela1[Valor],Tabela1[Mês],I$2,Tabela1[Categoria],$A5)</f>
        <v>0</v>
      </c>
      <c r="J5" s="7">
        <f>SUMIFS(Tabela1[Valor],Tabela1[Mês],J$2,Tabela1[Categoria],$A5)</f>
        <v>0</v>
      </c>
      <c r="K5" s="7">
        <f>SUMIFS(Tabela1[Valor],Tabela1[Mês],K$2,Tabela1[Categoria],$A5)</f>
        <v>0</v>
      </c>
      <c r="L5" s="7">
        <f>SUMIFS(Tabela1[Valor],Tabela1[Mês],L$2,Tabela1[Categoria],$A5)</f>
        <v>0</v>
      </c>
      <c r="M5" s="7">
        <f>SUMIFS(Tabela1[Valor],Tabela1[Mês],M$2,Tabela1[Categoria],$A5)</f>
        <v>0</v>
      </c>
    </row>
    <row r="6" spans="1:13" ht="17.850000000000001" customHeight="1" x14ac:dyDescent="0.3">
      <c r="A6" s="10" t="s">
        <v>14</v>
      </c>
      <c r="B6" s="7">
        <f>SUMIFS(Tabela1[Valor],Tabela1[Mês],B$2,Tabela1[Categoria],$A6)</f>
        <v>0</v>
      </c>
      <c r="C6" s="7">
        <f>SUMIFS(Tabela1[Valor],Tabela1[Mês],C$2,Tabela1[Categoria],$A6)</f>
        <v>0</v>
      </c>
      <c r="D6" s="7">
        <f>SUMIFS(Tabela1[Valor],Tabela1[Mês],D$2,Tabela1[Categoria],$A6)</f>
        <v>0</v>
      </c>
      <c r="E6" s="7">
        <f>SUMIFS(Tabela1[Valor],Tabela1[Mês],E$2,Tabela1[Categoria],$A6)</f>
        <v>0</v>
      </c>
      <c r="F6" s="7">
        <f>SUMIFS(Tabela1[Valor],Tabela1[Mês],F$2,Tabela1[Categoria],$A6)</f>
        <v>0</v>
      </c>
      <c r="G6" s="7">
        <f>SUMIFS(Tabela1[Valor],Tabela1[Mês],G$2,Tabela1[Categoria],$A6)</f>
        <v>0</v>
      </c>
      <c r="H6" s="34">
        <f>SUMIFS(Tabela1[Valor],Tabela1[Mês],H$2,Tabela1[Categoria],$A6)</f>
        <v>0</v>
      </c>
      <c r="I6" s="7">
        <f>SUMIFS(Tabela1[Valor],Tabela1[Mês],I$2,Tabela1[Categoria],$A6)</f>
        <v>0</v>
      </c>
      <c r="J6" s="7">
        <f>SUMIFS(Tabela1[Valor],Tabela1[Mês],J$2,Tabela1[Categoria],$A6)</f>
        <v>0</v>
      </c>
      <c r="K6" s="7">
        <f>SUMIFS(Tabela1[Valor],Tabela1[Mês],K$2,Tabela1[Categoria],$A6)</f>
        <v>0</v>
      </c>
      <c r="L6" s="7">
        <f>SUMIFS(Tabela1[Valor],Tabela1[Mês],L$2,Tabela1[Categoria],$A6)</f>
        <v>0</v>
      </c>
      <c r="M6" s="7">
        <f>SUMIFS(Tabela1[Valor],Tabela1[Mês],M$2,Tabela1[Categoria],$A6)</f>
        <v>0</v>
      </c>
    </row>
    <row r="7" spans="1:13" ht="14.3" customHeight="1" x14ac:dyDescent="0.3">
      <c r="A7" s="9"/>
      <c r="B7" s="9"/>
      <c r="C7" s="9"/>
      <c r="D7" s="9"/>
      <c r="E7" s="9"/>
      <c r="F7" s="9"/>
      <c r="G7" s="9"/>
      <c r="H7" s="35"/>
      <c r="I7" s="9"/>
      <c r="J7" s="9"/>
      <c r="K7" s="9"/>
      <c r="L7" s="9"/>
      <c r="M7" s="9"/>
    </row>
    <row r="8" spans="1:13" ht="17.850000000000001" customHeight="1" x14ac:dyDescent="0.3">
      <c r="A8" s="65" t="s">
        <v>44</v>
      </c>
      <c r="B8" s="9"/>
      <c r="C8" s="9"/>
      <c r="D8" s="9"/>
      <c r="E8" s="9"/>
      <c r="F8" s="9"/>
      <c r="G8" s="9"/>
      <c r="H8" s="35"/>
      <c r="I8" s="9"/>
      <c r="J8" s="9"/>
      <c r="K8" s="9"/>
      <c r="L8" s="9"/>
      <c r="M8" s="9"/>
    </row>
    <row r="9" spans="1:13" ht="18" customHeight="1" x14ac:dyDescent="0.3">
      <c r="A9" s="10" t="s">
        <v>46</v>
      </c>
      <c r="B9" s="7">
        <f>SUMIFS(Tabela1[Valor],Tabela1[Mês],B$2,Tabela1[Categoria],$A9)</f>
        <v>0</v>
      </c>
      <c r="C9" s="7">
        <f>SUMIFS(Tabela1[Valor],Tabela1[Mês],C$2,Tabela1[Categoria],$A9)</f>
        <v>0</v>
      </c>
      <c r="D9" s="7">
        <f>SUMIFS(Tabela1[Valor],Tabela1[Mês],D$2,Tabela1[Categoria],$A9)</f>
        <v>0</v>
      </c>
      <c r="E9" s="7">
        <f>SUMIFS(Tabela1[Valor],Tabela1[Mês],E$2,Tabela1[Categoria],$A9)</f>
        <v>0</v>
      </c>
      <c r="F9" s="7">
        <f>SUMIFS(Tabela1[Valor],Tabela1[Mês],F$2,Tabela1[Categoria],$A9)</f>
        <v>0</v>
      </c>
      <c r="G9" s="7">
        <f>SUMIFS(Tabela1[Valor],Tabela1[Mês],G$2,Tabela1[Categoria],$A9)</f>
        <v>0</v>
      </c>
      <c r="H9" s="34">
        <f>SUMIFS(Tabela1[Valor],Tabela1[Mês],H$2,Tabela1[Categoria],$A9)</f>
        <v>0</v>
      </c>
      <c r="I9" s="7">
        <f>SUMIFS(Tabela1[Valor],Tabela1[Mês],I$2,Tabela1[Categoria],$A9)</f>
        <v>0</v>
      </c>
      <c r="J9" s="7">
        <f>SUMIFS(Tabela1[Valor],Tabela1[Mês],J$2,Tabela1[Categoria],$A9)</f>
        <v>0</v>
      </c>
      <c r="K9" s="7">
        <f>SUMIFS(Tabela1[Valor],Tabela1[Mês],K$2,Tabela1[Categoria],$A9)</f>
        <v>0</v>
      </c>
      <c r="L9" s="7">
        <f>SUMIFS(Tabela1[Valor],Tabela1[Mês],L$2,Tabela1[Categoria],$A9)</f>
        <v>0</v>
      </c>
      <c r="M9" s="7">
        <f>SUMIFS(Tabela1[Valor],Tabela1[Mês],M$2,Tabela1[Categoria],$A9)</f>
        <v>0</v>
      </c>
    </row>
    <row r="10" spans="1:13" ht="17.850000000000001" customHeight="1" x14ac:dyDescent="0.3">
      <c r="A10" s="10" t="s">
        <v>47</v>
      </c>
      <c r="B10" s="7">
        <f>SUMIFS(Tabela1[Valor],Tabela1[Mês],B$2,Tabela1[Categoria],$A10)</f>
        <v>0</v>
      </c>
      <c r="C10" s="7">
        <f>SUMIFS(Tabela1[Valor],Tabela1[Mês],C$2,Tabela1[Categoria],$A10)</f>
        <v>0</v>
      </c>
      <c r="D10" s="7">
        <f>SUMIFS(Tabela1[Valor],Tabela1[Mês],D$2,Tabela1[Categoria],$A10)</f>
        <v>0</v>
      </c>
      <c r="E10" s="7">
        <f>SUMIFS(Tabela1[Valor],Tabela1[Mês],E$2,Tabela1[Categoria],$A10)</f>
        <v>0</v>
      </c>
      <c r="F10" s="7">
        <f>SUMIFS(Tabela1[Valor],Tabela1[Mês],F$2,Tabela1[Categoria],$A10)</f>
        <v>0</v>
      </c>
      <c r="G10" s="7">
        <f>SUMIFS(Tabela1[Valor],Tabela1[Mês],G$2,Tabela1[Categoria],$A10)</f>
        <v>0</v>
      </c>
      <c r="H10" s="34">
        <f>SUMIFS(Tabela1[Valor],Tabela1[Mês],H$2,Tabela1[Categoria],$A10)</f>
        <v>0</v>
      </c>
      <c r="I10" s="7">
        <f>SUMIFS(Tabela1[Valor],Tabela1[Mês],I$2,Tabela1[Categoria],$A10)</f>
        <v>0</v>
      </c>
      <c r="J10" s="7">
        <f>SUMIFS(Tabela1[Valor],Tabela1[Mês],J$2,Tabela1[Categoria],$A10)</f>
        <v>0</v>
      </c>
      <c r="K10" s="7">
        <f>SUMIFS(Tabela1[Valor],Tabela1[Mês],K$2,Tabela1[Categoria],$A10)</f>
        <v>0</v>
      </c>
      <c r="L10" s="7">
        <f>SUMIFS(Tabela1[Valor],Tabela1[Mês],L$2,Tabela1[Categoria],$A10)</f>
        <v>0</v>
      </c>
      <c r="M10" s="7">
        <f>SUMIFS(Tabela1[Valor],Tabela1[Mês],M$2,Tabela1[Categoria],$A10)</f>
        <v>0</v>
      </c>
    </row>
    <row r="11" spans="1:13" ht="17.850000000000001" customHeight="1" x14ac:dyDescent="0.3">
      <c r="A11" s="10" t="s">
        <v>54</v>
      </c>
      <c r="B11" s="7">
        <f>SUMIFS(Tabela1[Valor],Tabela1[Mês],B$2,Tabela1[Categoria],$A11)</f>
        <v>0</v>
      </c>
      <c r="C11" s="7">
        <f>SUMIFS(Tabela1[Valor],Tabela1[Mês],C$2,Tabela1[Categoria],$A11)</f>
        <v>0</v>
      </c>
      <c r="D11" s="7">
        <f>SUMIFS(Tabela1[Valor],Tabela1[Mês],D$2,Tabela1[Categoria],$A11)</f>
        <v>0</v>
      </c>
      <c r="E11" s="7">
        <f>SUMIFS(Tabela1[Valor],Tabela1[Mês],E$2,Tabela1[Categoria],$A11)</f>
        <v>0</v>
      </c>
      <c r="F11" s="7">
        <f>SUMIFS(Tabela1[Valor],Tabela1[Mês],F$2,Tabela1[Categoria],$A11)</f>
        <v>0</v>
      </c>
      <c r="G11" s="7">
        <f>SUMIFS(Tabela1[Valor],Tabela1[Mês],G$2,Tabela1[Categoria],$A11)</f>
        <v>0</v>
      </c>
      <c r="H11" s="7">
        <f>SUMIFS(Tabela1[Valor],Tabela1[Mês],H$2,Tabela1[Categoria],$A11)</f>
        <v>0</v>
      </c>
      <c r="I11" s="7">
        <f>SUMIFS(Tabela1[Valor],Tabela1[Mês],I$2,Tabela1[Categoria],$A11)</f>
        <v>0</v>
      </c>
      <c r="J11" s="7">
        <f>SUMIFS(Tabela1[Valor],Tabela1[Mês],J$2,Tabela1[Categoria],$A11)</f>
        <v>0</v>
      </c>
      <c r="K11" s="7">
        <f>SUMIFS(Tabela1[Valor],Tabela1[Mês],K$2,Tabela1[Categoria],$A11)</f>
        <v>0</v>
      </c>
      <c r="L11" s="7">
        <f>SUMIFS(Tabela1[Valor],Tabela1[Mês],L$2,Tabela1[Categoria],$A11)</f>
        <v>0</v>
      </c>
      <c r="M11" s="7">
        <f>SUMIFS(Tabela1[Valor],Tabela1[Mês],M$2,Tabela1[Categoria],$A11)</f>
        <v>0</v>
      </c>
    </row>
    <row r="12" spans="1:13" ht="17.850000000000001" customHeight="1" x14ac:dyDescent="0.3">
      <c r="A12" s="10" t="s">
        <v>42</v>
      </c>
      <c r="B12" s="7">
        <f>SUMIFS(Tabela1[Valor],Tabela1[Mês],B$2,Tabela1[Categoria],$A12)</f>
        <v>0</v>
      </c>
      <c r="C12" s="7">
        <f>SUMIFS(Tabela1[Valor],Tabela1[Mês],C$2,Tabela1[Categoria],$A12)</f>
        <v>0</v>
      </c>
      <c r="D12" s="7">
        <f>SUMIFS(Tabela1[Valor],Tabela1[Mês],D$2,Tabela1[Categoria],$A12)</f>
        <v>0</v>
      </c>
      <c r="E12" s="7">
        <f>SUMIFS(Tabela1[Valor],Tabela1[Mês],E$2,Tabela1[Categoria],$A12)</f>
        <v>0</v>
      </c>
      <c r="F12" s="7">
        <f>SUMIFS(Tabela1[Valor],Tabela1[Mês],F$2,Tabela1[Categoria],$A12)</f>
        <v>0</v>
      </c>
      <c r="G12" s="7">
        <f>SUMIFS(Tabela1[Valor],Tabela1[Mês],G$2,Tabela1[Categoria],$A12)</f>
        <v>0</v>
      </c>
      <c r="H12" s="34">
        <f>SUMIFS(Tabela1[Valor],Tabela1[Mês],H$2,Tabela1[Categoria],$A12)</f>
        <v>0</v>
      </c>
      <c r="I12" s="7">
        <f>SUMIFS(Tabela1[Valor],Tabela1[Mês],I$2,Tabela1[Categoria],$A12)</f>
        <v>0</v>
      </c>
      <c r="J12" s="7">
        <f>SUMIFS(Tabela1[Valor],Tabela1[Mês],J$2,Tabela1[Categoria],$A12)</f>
        <v>0</v>
      </c>
      <c r="K12" s="7">
        <f>SUMIFS(Tabela1[Valor],Tabela1[Mês],K$2,Tabela1[Categoria],$A12)</f>
        <v>0</v>
      </c>
      <c r="L12" s="7">
        <f>SUMIFS(Tabela1[Valor],Tabela1[Mês],L$2,Tabela1[Categoria],$A12)</f>
        <v>0</v>
      </c>
      <c r="M12" s="7">
        <f>SUMIFS(Tabela1[Valor],Tabela1[Mês],M$2,Tabela1[Categoria],$A12)</f>
        <v>0</v>
      </c>
    </row>
    <row r="13" spans="1:13" ht="17.850000000000001" customHeight="1" x14ac:dyDescent="0.3">
      <c r="A13" s="10" t="s">
        <v>52</v>
      </c>
      <c r="B13" s="74">
        <f>IF((SUM(B4:B6)-SUM(B9:B11)) &gt; 10, ((SUM(B4:B6)-SUM(B9:B11))*0.1), (0))-B12</f>
        <v>0</v>
      </c>
      <c r="C13" s="74">
        <f t="shared" ref="C13:L13" si="0">IF((SUM(C4:C6)-SUM(C9:C11)) &gt; 10, ((SUM(C4:C6)-SUM(C9:C11))*0.1), (0))-C12</f>
        <v>0</v>
      </c>
      <c r="D13" s="74">
        <f t="shared" si="0"/>
        <v>0</v>
      </c>
      <c r="E13" s="74">
        <f t="shared" si="0"/>
        <v>0</v>
      </c>
      <c r="F13" s="74">
        <f t="shared" si="0"/>
        <v>0</v>
      </c>
      <c r="G13" s="74">
        <f t="shared" si="0"/>
        <v>0</v>
      </c>
      <c r="H13" s="74">
        <f t="shared" si="0"/>
        <v>0</v>
      </c>
      <c r="I13" s="74">
        <f t="shared" si="0"/>
        <v>0</v>
      </c>
      <c r="J13" s="74">
        <f t="shared" si="0"/>
        <v>0</v>
      </c>
      <c r="K13" s="74">
        <f t="shared" si="0"/>
        <v>15</v>
      </c>
      <c r="L13" s="74">
        <f t="shared" si="0"/>
        <v>0</v>
      </c>
      <c r="M13" s="74">
        <f>IF((SUM(M4:M6)-SUM(M9:M11)) &gt; 10, ((SUM(M4:M6)-SUM(M9:M11))*0.1), (0))-M12</f>
        <v>0</v>
      </c>
    </row>
    <row r="14" spans="1:13" ht="14.3" customHeight="1" x14ac:dyDescent="0.3">
      <c r="A14" s="13"/>
      <c r="B14" s="9"/>
      <c r="C14" s="9"/>
      <c r="D14" s="9"/>
      <c r="E14" s="9"/>
      <c r="F14" s="9"/>
      <c r="G14" s="9"/>
      <c r="H14" s="35"/>
      <c r="I14" s="9"/>
      <c r="J14" s="9"/>
      <c r="K14" s="9"/>
      <c r="L14" s="9"/>
      <c r="M14" s="9"/>
    </row>
    <row r="15" spans="1:13" ht="18" customHeight="1" x14ac:dyDescent="0.3">
      <c r="A15" s="65" t="s">
        <v>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18" customHeight="1" x14ac:dyDescent="0.3">
      <c r="A16" s="10" t="s">
        <v>49</v>
      </c>
      <c r="B16" s="7">
        <f>SUMIFS(Tabela1[Valor],Tabela1[Mês],B$2,Tabela1[Categoria],$A16)</f>
        <v>0</v>
      </c>
      <c r="C16" s="7">
        <f>SUMIFS(Tabela1[Valor],Tabela1[Mês],C$2,Tabela1[Categoria],$A16)</f>
        <v>0</v>
      </c>
      <c r="D16" s="7">
        <f>SUMIFS(Tabela1[Valor],Tabela1[Mês],D$2,Tabela1[Categoria],$A16)</f>
        <v>0</v>
      </c>
      <c r="E16" s="7">
        <f>SUMIFS(Tabela1[Valor],Tabela1[Mês],E$2,Tabela1[Categoria],$A16)</f>
        <v>0</v>
      </c>
      <c r="F16" s="7">
        <f>SUMIFS(Tabela1[Valor],Tabela1[Mês],F$2,Tabela1[Categoria],$A16)</f>
        <v>0</v>
      </c>
      <c r="G16" s="7">
        <f>SUMIFS(Tabela1[Valor],Tabela1[Mês],G$2,Tabela1[Categoria],$A16)</f>
        <v>0</v>
      </c>
      <c r="H16" s="7">
        <f>SUMIFS(Tabela1[Valor],Tabela1[Mês],H$2,Tabela1[Categoria],$A16)</f>
        <v>0</v>
      </c>
      <c r="I16" s="7">
        <f>SUMIFS(Tabela1[Valor],Tabela1[Mês],I$2,Tabela1[Categoria],$A16)</f>
        <v>0</v>
      </c>
      <c r="J16" s="7">
        <f>SUMIFS(Tabela1[Valor],Tabela1[Mês],J$2,Tabela1[Categoria],$A16)</f>
        <v>0</v>
      </c>
      <c r="K16" s="7">
        <f>SUMIFS(Tabela1[Valor],Tabela1[Mês],K$2,Tabela1[Categoria],$A16)</f>
        <v>50</v>
      </c>
      <c r="L16" s="7">
        <f>SUMIFS(Tabela1[Valor],Tabela1[Mês],L$2,Tabela1[Categoria],$A16)</f>
        <v>0</v>
      </c>
      <c r="M16" s="7">
        <f>SUMIFS(Tabela1[Valor],Tabela1[Mês],M$2,Tabela1[Categoria],$A16)</f>
        <v>0</v>
      </c>
    </row>
    <row r="17" spans="1:13" ht="18" customHeight="1" x14ac:dyDescent="0.3">
      <c r="A17" s="10" t="s">
        <v>50</v>
      </c>
      <c r="B17" s="7">
        <f>SUMIFS(Tabela1[Valor],Tabela1[Mês],B$2,Tabela1[Categoria],$A17)</f>
        <v>0</v>
      </c>
      <c r="C17" s="7">
        <f>SUMIFS(Tabela1[Valor],Tabela1[Mês],C$2,Tabela1[Categoria],$A17)</f>
        <v>0</v>
      </c>
      <c r="D17" s="7">
        <f>SUMIFS(Tabela1[Valor],Tabela1[Mês],D$2,Tabela1[Categoria],$A17)</f>
        <v>0</v>
      </c>
      <c r="E17" s="7">
        <f>SUMIFS(Tabela1[Valor],Tabela1[Mês],E$2,Tabela1[Categoria],$A17)</f>
        <v>0</v>
      </c>
      <c r="F17" s="7">
        <f>SUMIFS(Tabela1[Valor],Tabela1[Mês],F$2,Tabela1[Categoria],$A17)</f>
        <v>0</v>
      </c>
      <c r="G17" s="7">
        <f>SUMIFS(Tabela1[Valor],Tabela1[Mês],G$2,Tabela1[Categoria],$A17)</f>
        <v>0</v>
      </c>
      <c r="H17" s="34">
        <f>SUMIFS(Tabela1[Valor],Tabela1[Mês],H$2,Tabela1[Categoria],$A17)</f>
        <v>0</v>
      </c>
      <c r="I17" s="7">
        <f>SUMIFS(Tabela1[Valor],Tabela1[Mês],I$2,Tabela1[Categoria],$A17)</f>
        <v>0</v>
      </c>
      <c r="J17" s="7">
        <f>SUMIFS(Tabela1[Valor],Tabela1[Mês],J$2,Tabela1[Categoria],$A17)</f>
        <v>0</v>
      </c>
      <c r="K17" s="7">
        <f>SUMIFS(Tabela1[Valor],Tabela1[Mês],K$2,Tabela1[Categoria],$A17)</f>
        <v>0</v>
      </c>
      <c r="L17" s="7">
        <f>SUMIFS(Tabela1[Valor],Tabela1[Mês],L$2,Tabela1[Categoria],$A17)</f>
        <v>0</v>
      </c>
      <c r="M17" s="7">
        <f>SUMIFS(Tabela1[Valor],Tabela1[Mês],M$2,Tabela1[Categoria],$A17)</f>
        <v>0</v>
      </c>
    </row>
    <row r="18" spans="1:13" s="5" customFormat="1" ht="18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7.850000000000001" customHeight="1" x14ac:dyDescent="0.3">
      <c r="A19" s="64" t="s">
        <v>8</v>
      </c>
      <c r="B19" s="7">
        <f>ROUND(SUM(B4:B6)-SUM(B16:B17)-SUM(B9:B12),2)</f>
        <v>0</v>
      </c>
      <c r="C19" s="7">
        <f t="shared" ref="C19:L19" si="1">ROUND(SUM(C4:C6)-SUM(C16:C17)-SUM(C9:C12),2)</f>
        <v>0</v>
      </c>
      <c r="D19" s="7">
        <f t="shared" si="1"/>
        <v>0</v>
      </c>
      <c r="E19" s="7">
        <f t="shared" si="1"/>
        <v>0</v>
      </c>
      <c r="F19" s="7">
        <f t="shared" si="1"/>
        <v>0</v>
      </c>
      <c r="G19" s="7">
        <f t="shared" si="1"/>
        <v>0</v>
      </c>
      <c r="H19" s="7">
        <f t="shared" si="1"/>
        <v>0</v>
      </c>
      <c r="I19" s="7">
        <f t="shared" si="1"/>
        <v>0</v>
      </c>
      <c r="J19" s="7">
        <f t="shared" si="1"/>
        <v>0</v>
      </c>
      <c r="K19" s="7">
        <f t="shared" si="1"/>
        <v>100</v>
      </c>
      <c r="L19" s="7">
        <f t="shared" si="1"/>
        <v>0</v>
      </c>
      <c r="M19" s="7">
        <f>ROUND(SUM(M4:M6)-SUM(M16:M17)-SUM(M9:M12),2)</f>
        <v>0</v>
      </c>
    </row>
  </sheetData>
  <phoneticPr fontId="12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tabColor theme="0"/>
  </sheetPr>
  <dimension ref="A2:AK17"/>
  <sheetViews>
    <sheetView zoomScale="140" zoomScaleNormal="140" workbookViewId="0">
      <pane xSplit="1" topLeftCell="B1" activePane="topRight" state="frozen"/>
      <selection activeCell="A4" sqref="A4"/>
      <selection pane="topRight" activeCell="A2" sqref="A2"/>
    </sheetView>
  </sheetViews>
  <sheetFormatPr defaultRowHeight="14.3" x14ac:dyDescent="0.25"/>
  <cols>
    <col min="1" max="1" width="15.7109375" style="5" customWidth="1"/>
    <col min="2" max="2" width="6.5703125" style="5" customWidth="1"/>
    <col min="3" max="4" width="15.7109375" style="5" customWidth="1"/>
    <col min="5" max="5" width="6.5703125" style="5" customWidth="1"/>
    <col min="6" max="6" width="15.7109375" style="36" customWidth="1"/>
    <col min="7" max="7" width="15.7109375" style="5" customWidth="1"/>
    <col min="8" max="8" width="6.42578125" style="5" customWidth="1"/>
    <col min="9" max="10" width="15.7109375" style="5" customWidth="1"/>
    <col min="11" max="11" width="6.42578125" style="5" customWidth="1"/>
    <col min="12" max="13" width="15.7109375" style="5" customWidth="1"/>
    <col min="14" max="14" width="6.42578125" style="5" customWidth="1"/>
    <col min="15" max="16" width="15.7109375" style="5" customWidth="1"/>
    <col min="17" max="17" width="6.42578125" style="5" customWidth="1"/>
    <col min="18" max="19" width="15.7109375" style="5" customWidth="1"/>
    <col min="20" max="20" width="6.42578125" style="5" customWidth="1"/>
    <col min="21" max="22" width="15.7109375" style="5" customWidth="1"/>
    <col min="23" max="23" width="6.42578125" style="5" customWidth="1"/>
    <col min="24" max="25" width="15.7109375" style="5" customWidth="1"/>
    <col min="26" max="26" width="6.42578125" style="5" customWidth="1"/>
    <col min="27" max="28" width="15.7109375" style="5" customWidth="1"/>
    <col min="29" max="29" width="6.42578125" style="5" customWidth="1"/>
    <col min="30" max="31" width="15.7109375" style="5" customWidth="1"/>
    <col min="32" max="32" width="6.42578125" style="5" customWidth="1"/>
    <col min="33" max="34" width="15.7109375" style="5" customWidth="1"/>
    <col min="35" max="35" width="6.42578125" style="5" customWidth="1"/>
    <col min="36" max="37" width="15.7109375" style="5" customWidth="1"/>
    <col min="38" max="38" width="10.5703125" style="5" bestFit="1" customWidth="1"/>
    <col min="39" max="39" width="12.42578125" style="5" bestFit="1" customWidth="1"/>
    <col min="40" max="41" width="10.5703125" style="5" bestFit="1" customWidth="1"/>
    <col min="42" max="16384" width="9.140625" style="5"/>
  </cols>
  <sheetData>
    <row r="2" spans="1:37" s="55" customFormat="1" ht="15" customHeight="1" x14ac:dyDescent="0.25">
      <c r="A2" s="52" t="s">
        <v>0</v>
      </c>
      <c r="B2" s="53"/>
      <c r="C2" s="54"/>
      <c r="D2" s="88" t="str">
        <f>PROPER(TEXT("01/01","MMMM"))</f>
        <v>Janeiro</v>
      </c>
      <c r="E2" s="53"/>
      <c r="F2" s="53"/>
      <c r="G2" s="62" t="str">
        <f>PROPER(TEXT("1/02","MMMM"))</f>
        <v>Fevereiro</v>
      </c>
      <c r="H2" s="53"/>
      <c r="I2" s="53"/>
      <c r="J2" s="89" t="str">
        <f>PROPER(TEXT("1/03","MMMM"))</f>
        <v>Março</v>
      </c>
      <c r="K2" s="53"/>
      <c r="L2" s="53"/>
      <c r="M2" s="62" t="str">
        <f>PROPER(TEXT("1/04","MMMM"))</f>
        <v>Abril</v>
      </c>
      <c r="N2" s="53"/>
      <c r="O2" s="53"/>
      <c r="P2" s="89" t="str">
        <f>PROPER(TEXT("1/05","MMMM"))</f>
        <v>Maio</v>
      </c>
      <c r="Q2" s="53"/>
      <c r="R2" s="53"/>
      <c r="S2" s="62" t="str">
        <f>PROPER(TEXT("1/06","MMMM"))</f>
        <v>Junho</v>
      </c>
      <c r="T2" s="53"/>
      <c r="U2" s="53"/>
      <c r="V2" s="89" t="str">
        <f>PROPER(TEXT("1/07","MMMM"))</f>
        <v>Julho</v>
      </c>
      <c r="W2" s="53"/>
      <c r="X2" s="53"/>
      <c r="Y2" s="62" t="str">
        <f>PROPER(TEXT("1/08","MMMM"))</f>
        <v>Agosto</v>
      </c>
      <c r="Z2" s="53"/>
      <c r="AA2" s="53"/>
      <c r="AB2" s="89" t="str">
        <f>PROPER(TEXT("1/09","MMMM"))</f>
        <v>Setembro</v>
      </c>
      <c r="AC2" s="53"/>
      <c r="AD2" s="53"/>
      <c r="AE2" s="62" t="str">
        <f>PROPER(TEXT("1/10","MMMM"))</f>
        <v>Outubro</v>
      </c>
      <c r="AF2" s="53"/>
      <c r="AG2" s="53"/>
      <c r="AH2" s="89" t="str">
        <f>PROPER(TEXT("1/11","MMMM"))</f>
        <v>Novembro</v>
      </c>
      <c r="AI2" s="53"/>
      <c r="AJ2" s="53"/>
      <c r="AK2" s="62" t="str">
        <f>PROPER(TEXT("1/12","MMMM"))</f>
        <v>Dezembro</v>
      </c>
    </row>
    <row r="3" spans="1:37" s="36" customFormat="1" ht="15" customHeight="1" x14ac:dyDescent="0.25">
      <c r="A3" s="50" t="s">
        <v>17</v>
      </c>
      <c r="B3" s="37"/>
      <c r="C3" s="38"/>
      <c r="D3" s="4">
        <f>'Receitas - Mapa'!B19</f>
        <v>0</v>
      </c>
      <c r="F3" s="38"/>
      <c r="G3" s="4">
        <f>'Receitas - Mapa'!C19</f>
        <v>0</v>
      </c>
      <c r="I3" s="38"/>
      <c r="J3" s="4">
        <f>'Receitas - Mapa'!D19</f>
        <v>0</v>
      </c>
      <c r="L3" s="38"/>
      <c r="M3" s="4">
        <f>'Receitas - Mapa'!E19</f>
        <v>0</v>
      </c>
      <c r="O3" s="38"/>
      <c r="P3" s="4">
        <f>'Receitas - Mapa'!F19</f>
        <v>0</v>
      </c>
      <c r="R3" s="38"/>
      <c r="S3" s="4">
        <f>'Receitas - Mapa'!G19</f>
        <v>0</v>
      </c>
      <c r="U3" s="38"/>
      <c r="V3" s="4">
        <f>'Receitas - Mapa'!H19</f>
        <v>0</v>
      </c>
      <c r="X3" s="38"/>
      <c r="Y3" s="4">
        <f>'Receitas - Mapa'!I19</f>
        <v>0</v>
      </c>
      <c r="AA3" s="38"/>
      <c r="AB3" s="4">
        <f>'Receitas - Mapa'!J19</f>
        <v>0</v>
      </c>
      <c r="AD3" s="38"/>
      <c r="AE3" s="4">
        <f>'Receitas - Mapa'!K19</f>
        <v>100</v>
      </c>
      <c r="AG3" s="38"/>
      <c r="AH3" s="4">
        <f>'Receitas - Mapa'!L19</f>
        <v>0</v>
      </c>
      <c r="AJ3" s="38"/>
      <c r="AK3" s="4">
        <f>'Receitas - Mapa'!M19</f>
        <v>0</v>
      </c>
    </row>
    <row r="4" spans="1:37" ht="15" customHeight="1" x14ac:dyDescent="0.25">
      <c r="A4" s="50" t="s">
        <v>4</v>
      </c>
      <c r="B4" s="39"/>
      <c r="D4" s="51">
        <f>D3-(SUM(D7:D15))</f>
        <v>0</v>
      </c>
      <c r="E4" s="40"/>
      <c r="F4" s="5"/>
      <c r="G4" s="51">
        <f>G3-(SUM(G7:G15))+D4</f>
        <v>0</v>
      </c>
      <c r="H4" s="40"/>
      <c r="J4" s="51">
        <f>J3-(SUM(J7:J15))+G4</f>
        <v>0</v>
      </c>
      <c r="K4" s="40"/>
      <c r="M4" s="51">
        <f>M3-(SUM(M7:M15))+J4</f>
        <v>0</v>
      </c>
      <c r="N4" s="40"/>
      <c r="P4" s="51">
        <f>P3-(SUM(P7:P15))+M4</f>
        <v>0</v>
      </c>
      <c r="Q4" s="40"/>
      <c r="S4" s="51">
        <f>S3-(SUM(S7:S15))+P4</f>
        <v>0</v>
      </c>
      <c r="T4" s="40"/>
      <c r="V4" s="51">
        <f>V3-(SUM(V7:V15))+S4</f>
        <v>0</v>
      </c>
      <c r="W4" s="40"/>
      <c r="Y4" s="51">
        <f>Y3-(SUM(Y7:Y15))+V4</f>
        <v>0</v>
      </c>
      <c r="Z4" s="40"/>
      <c r="AB4" s="51">
        <f>AB3-(SUM(AB7:AB15))+Y4</f>
        <v>0</v>
      </c>
      <c r="AC4" s="40"/>
      <c r="AE4" s="51">
        <f>AE3-(SUM(AE7:AE15))+AB4</f>
        <v>100</v>
      </c>
      <c r="AF4" s="40"/>
      <c r="AH4" s="51">
        <f>AH3-(SUM(AH7:AH15))+AE4</f>
        <v>100</v>
      </c>
      <c r="AI4" s="40"/>
      <c r="AK4" s="51">
        <f>AK3-SUM(AK7:AK15)+AH4</f>
        <v>100</v>
      </c>
    </row>
    <row r="5" spans="1:37" ht="15" customHeight="1" x14ac:dyDescent="0.3">
      <c r="A5" s="41"/>
      <c r="B5" s="41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</row>
    <row r="6" spans="1:37" ht="15" customHeight="1" x14ac:dyDescent="0.25">
      <c r="A6" s="101" t="s">
        <v>7</v>
      </c>
      <c r="B6" s="42"/>
      <c r="C6" s="46" t="s">
        <v>15</v>
      </c>
      <c r="D6" s="47" t="s">
        <v>31</v>
      </c>
      <c r="E6" s="39"/>
      <c r="F6" s="48" t="s">
        <v>15</v>
      </c>
      <c r="G6" s="49" t="s">
        <v>31</v>
      </c>
      <c r="H6" s="39"/>
      <c r="I6" s="46" t="s">
        <v>15</v>
      </c>
      <c r="J6" s="47" t="s">
        <v>31</v>
      </c>
      <c r="K6" s="39"/>
      <c r="L6" s="48" t="s">
        <v>15</v>
      </c>
      <c r="M6" s="49" t="s">
        <v>31</v>
      </c>
      <c r="N6" s="39"/>
      <c r="O6" s="46" t="s">
        <v>15</v>
      </c>
      <c r="P6" s="47" t="s">
        <v>31</v>
      </c>
      <c r="Q6" s="39"/>
      <c r="R6" s="48" t="s">
        <v>15</v>
      </c>
      <c r="S6" s="49" t="s">
        <v>31</v>
      </c>
      <c r="T6" s="39"/>
      <c r="U6" s="46" t="s">
        <v>15</v>
      </c>
      <c r="V6" s="47" t="s">
        <v>31</v>
      </c>
      <c r="W6" s="39"/>
      <c r="X6" s="48" t="s">
        <v>15</v>
      </c>
      <c r="Y6" s="49" t="s">
        <v>31</v>
      </c>
      <c r="Z6" s="39"/>
      <c r="AA6" s="46" t="s">
        <v>15</v>
      </c>
      <c r="AB6" s="47" t="s">
        <v>31</v>
      </c>
      <c r="AC6" s="39"/>
      <c r="AD6" s="48" t="s">
        <v>15</v>
      </c>
      <c r="AE6" s="49" t="s">
        <v>31</v>
      </c>
      <c r="AF6" s="39"/>
      <c r="AG6" s="46" t="s">
        <v>15</v>
      </c>
      <c r="AH6" s="47" t="s">
        <v>31</v>
      </c>
      <c r="AI6" s="39"/>
      <c r="AJ6" s="48" t="s">
        <v>15</v>
      </c>
      <c r="AK6" s="49" t="s">
        <v>31</v>
      </c>
    </row>
    <row r="7" spans="1:37" ht="15" customHeight="1" x14ac:dyDescent="0.25">
      <c r="A7" s="101"/>
      <c r="B7" s="42"/>
      <c r="C7" s="2" t="s">
        <v>26</v>
      </c>
      <c r="D7" s="4">
        <f>SUMIFS(Tabela1[Valor],Tabela1[Mês],'Despesas - Mapa'!D$2,Tabela1[Categoria],'Despesas - Mapa'!C7)</f>
        <v>0</v>
      </c>
      <c r="E7" s="36"/>
      <c r="F7" s="6" t="str" cm="1">
        <f t="array" ref="F7:F15">Categorias</f>
        <v>Alimentação</v>
      </c>
      <c r="G7" s="63">
        <f>SUMIFS(Tabela1[Valor],Tabela1[Mês],'Despesas - Mapa'!G$2,Tabela1[Categoria],'Despesas - Mapa'!F7)</f>
        <v>0</v>
      </c>
      <c r="H7" s="36"/>
      <c r="I7" s="2" t="str" cm="1">
        <f t="array" ref="I7:I15">Categorias</f>
        <v>Alimentação</v>
      </c>
      <c r="J7" s="4">
        <f>SUMIFS(Tabela1[Valor],Tabela1[Mês],'Despesas - Mapa'!J$2,Tabela1[Categoria],'Despesas - Mapa'!I7)</f>
        <v>0</v>
      </c>
      <c r="K7" s="36"/>
      <c r="L7" s="6" t="str" cm="1">
        <f t="array" ref="L7:L15">Categorias</f>
        <v>Alimentação</v>
      </c>
      <c r="M7" s="63">
        <f>SUMIFS(Tabela1[Valor],Tabela1[Mês],'Despesas - Mapa'!M$2,Tabela1[Categoria],'Despesas - Mapa'!L7)</f>
        <v>0</v>
      </c>
      <c r="N7" s="36"/>
      <c r="O7" s="2" t="str" cm="1">
        <f t="array" ref="O7:O15">Categorias</f>
        <v>Alimentação</v>
      </c>
      <c r="P7" s="4">
        <f>SUMIFS(Tabela1[Valor],Tabela1[Mês],'Despesas - Mapa'!P$2,Tabela1[Categoria],'Despesas - Mapa'!O7)</f>
        <v>0</v>
      </c>
      <c r="Q7" s="36"/>
      <c r="R7" s="6" t="str" cm="1">
        <f t="array" ref="R7:R15">Categorias</f>
        <v>Alimentação</v>
      </c>
      <c r="S7" s="63">
        <f>SUMIFS(Tabela1[Valor],Tabela1[Mês],'Despesas - Mapa'!S$2,Tabela1[Categoria],'Despesas - Mapa'!R7)</f>
        <v>0</v>
      </c>
      <c r="T7" s="36"/>
      <c r="U7" s="2" t="str" cm="1">
        <f t="array" ref="U7:U15">Categorias</f>
        <v>Alimentação</v>
      </c>
      <c r="V7" s="4">
        <f>SUMIFS(Tabela1[Valor],Tabela1[Mês],'Despesas - Mapa'!V$2,Tabela1[Categoria],'Despesas - Mapa'!U7)</f>
        <v>0</v>
      </c>
      <c r="W7" s="36"/>
      <c r="X7" s="6" t="str" cm="1">
        <f t="array" ref="X7:X15">Categorias</f>
        <v>Alimentação</v>
      </c>
      <c r="Y7" s="63">
        <f>SUMIFS(Tabela1[Valor],Tabela1[Mês],'Despesas - Mapa'!Y$2,Tabela1[Categoria],'Despesas - Mapa'!X7)</f>
        <v>0</v>
      </c>
      <c r="Z7" s="36"/>
      <c r="AA7" s="2" t="str" cm="1">
        <f t="array" ref="AA7:AA15">Categorias</f>
        <v>Alimentação</v>
      </c>
      <c r="AB7" s="4">
        <f>SUMIFS(Tabela1[Valor],Tabela1[Mês],'Despesas - Mapa'!AB$2,Tabela1[Categoria],'Despesas - Mapa'!AA7)</f>
        <v>0</v>
      </c>
      <c r="AC7" s="36"/>
      <c r="AD7" s="6" t="str" cm="1">
        <f t="array" ref="AD7:AD15">Categorias</f>
        <v>Alimentação</v>
      </c>
      <c r="AE7" s="63">
        <f>SUMIFS(Tabela1[Valor],Tabela1[Mês],'Despesas - Mapa'!AE$2,Tabela1[Categoria],'Despesas - Mapa'!AD7)</f>
        <v>0</v>
      </c>
      <c r="AF7" s="36"/>
      <c r="AG7" s="2" t="str" cm="1">
        <f t="array" ref="AG7:AG15">Categorias</f>
        <v>Alimentação</v>
      </c>
      <c r="AH7" s="4">
        <f>SUMIFS(Tabela1[Valor],Tabela1[Mês],'Despesas - Mapa'!AH$2,Tabela1[Categoria],'Despesas - Mapa'!AG7)</f>
        <v>0</v>
      </c>
      <c r="AI7" s="36"/>
      <c r="AJ7" s="6" t="str" cm="1">
        <f t="array" ref="AJ7:AJ15">Categorias</f>
        <v>Alimentação</v>
      </c>
      <c r="AK7" s="63">
        <f>SUMIFS(Tabela1[Valor],Tabela1[Mês],'Despesas - Mapa'!AK$2,Tabela1[Categoria],'Despesas - Mapa'!AJ7)</f>
        <v>0</v>
      </c>
    </row>
    <row r="8" spans="1:37" ht="15" customHeight="1" x14ac:dyDescent="0.25">
      <c r="A8" s="101"/>
      <c r="B8" s="42"/>
      <c r="C8" s="2" t="s">
        <v>24</v>
      </c>
      <c r="D8" s="4">
        <f>SUMIFS(Tabela1[Valor],Tabela1[Mês],'Despesas - Mapa'!D$2,Tabela1[Categoria],'Despesas - Mapa'!C8)</f>
        <v>0</v>
      </c>
      <c r="E8" s="36"/>
      <c r="F8" s="6" t="str">
        <v>G. Resid.</v>
      </c>
      <c r="G8" s="63">
        <f>SUMIFS(Tabela1[Valor],Tabela1[Mês],'Despesas - Mapa'!G$2,Tabela1[Categoria],'Despesas - Mapa'!F8)</f>
        <v>0</v>
      </c>
      <c r="H8" s="36"/>
      <c r="I8" s="2" t="str">
        <v>G. Resid.</v>
      </c>
      <c r="J8" s="4">
        <f>SUMIFS(Tabela1[Valor],Tabela1[Mês],'Despesas - Mapa'!J$2,Tabela1[Categoria],'Despesas - Mapa'!I8)</f>
        <v>0</v>
      </c>
      <c r="K8" s="36"/>
      <c r="L8" s="6" t="str">
        <v>G. Resid.</v>
      </c>
      <c r="M8" s="63">
        <f>SUMIFS(Tabela1[Valor],Tabela1[Mês],'Despesas - Mapa'!M$2,Tabela1[Categoria],'Despesas - Mapa'!L8)</f>
        <v>0</v>
      </c>
      <c r="N8" s="36"/>
      <c r="O8" s="2" t="str">
        <v>G. Resid.</v>
      </c>
      <c r="P8" s="4">
        <f>SUMIFS(Tabela1[Valor],Tabela1[Mês],'Despesas - Mapa'!P$2,Tabela1[Categoria],'Despesas - Mapa'!O8)</f>
        <v>0</v>
      </c>
      <c r="Q8" s="36"/>
      <c r="R8" s="6" t="str">
        <v>G. Resid.</v>
      </c>
      <c r="S8" s="63">
        <f>SUMIFS(Tabela1[Valor],Tabela1[Mês],'Despesas - Mapa'!S$2,Tabela1[Categoria],'Despesas - Mapa'!R8)</f>
        <v>0</v>
      </c>
      <c r="T8" s="36"/>
      <c r="U8" s="2" t="str">
        <v>G. Resid.</v>
      </c>
      <c r="V8" s="4">
        <f>SUMIFS(Tabela1[Valor],Tabela1[Mês],'Despesas - Mapa'!V$2,Tabela1[Categoria],'Despesas - Mapa'!U8)</f>
        <v>0</v>
      </c>
      <c r="W8" s="36"/>
      <c r="X8" s="6" t="str">
        <v>G. Resid.</v>
      </c>
      <c r="Y8" s="63">
        <f>SUMIFS(Tabela1[Valor],Tabela1[Mês],'Despesas - Mapa'!Y$2,Tabela1[Categoria],'Despesas - Mapa'!X8)</f>
        <v>0</v>
      </c>
      <c r="Z8" s="36"/>
      <c r="AA8" s="2" t="str">
        <v>G. Resid.</v>
      </c>
      <c r="AB8" s="4">
        <f>SUMIFS(Tabela1[Valor],Tabela1[Mês],'Despesas - Mapa'!AB$2,Tabela1[Categoria],'Despesas - Mapa'!AA8)</f>
        <v>0</v>
      </c>
      <c r="AC8" s="36"/>
      <c r="AD8" s="6" t="str">
        <v>G. Resid.</v>
      </c>
      <c r="AE8" s="63">
        <f>SUMIFS(Tabela1[Valor],Tabela1[Mês],'Despesas - Mapa'!AE$2,Tabela1[Categoria],'Despesas - Mapa'!AD8)</f>
        <v>0</v>
      </c>
      <c r="AF8" s="36"/>
      <c r="AG8" s="2" t="str">
        <v>G. Resid.</v>
      </c>
      <c r="AH8" s="4">
        <f>SUMIFS(Tabela1[Valor],Tabela1[Mês],'Despesas - Mapa'!AH$2,Tabela1[Categoria],'Despesas - Mapa'!AG8)</f>
        <v>0</v>
      </c>
      <c r="AI8" s="36"/>
      <c r="AJ8" s="6" t="str">
        <v>G. Resid.</v>
      </c>
      <c r="AK8" s="63">
        <f>SUMIFS(Tabela1[Valor],Tabela1[Mês],'Despesas - Mapa'!AK$2,Tabela1[Categoria],'Despesas - Mapa'!AJ8)</f>
        <v>0</v>
      </c>
    </row>
    <row r="9" spans="1:37" ht="15" customHeight="1" x14ac:dyDescent="0.25">
      <c r="A9" s="101"/>
      <c r="B9" s="42"/>
      <c r="C9" s="3" t="s">
        <v>25</v>
      </c>
      <c r="D9" s="4">
        <f>SUMIFS(Tabela1[Valor],Tabela1[Mês],'Despesas - Mapa'!D$2,Tabela1[Categoria],'Despesas - Mapa'!C9)</f>
        <v>0</v>
      </c>
      <c r="E9" s="36"/>
      <c r="F9" s="6" t="str">
        <v>Eletron e Jogos</v>
      </c>
      <c r="G9" s="63">
        <f>SUMIFS(Tabela1[Valor],Tabela1[Mês],'Despesas - Mapa'!G$2,Tabela1[Categoria],'Despesas - Mapa'!F9)</f>
        <v>0</v>
      </c>
      <c r="H9" s="36"/>
      <c r="I9" s="2" t="str">
        <v>Eletron e Jogos</v>
      </c>
      <c r="J9" s="4">
        <f>SUMIFS(Tabela1[Valor],Tabela1[Mês],'Despesas - Mapa'!J$2,Tabela1[Categoria],'Despesas - Mapa'!I9)</f>
        <v>0</v>
      </c>
      <c r="K9" s="36"/>
      <c r="L9" s="6" t="str">
        <v>Eletron e Jogos</v>
      </c>
      <c r="M9" s="63">
        <f>SUMIFS(Tabela1[Valor],Tabela1[Mês],'Despesas - Mapa'!M$2,Tabela1[Categoria],'Despesas - Mapa'!L9)</f>
        <v>0</v>
      </c>
      <c r="N9" s="36"/>
      <c r="O9" s="2" t="str">
        <v>Eletron e Jogos</v>
      </c>
      <c r="P9" s="4">
        <f>SUMIFS(Tabela1[Valor],Tabela1[Mês],'Despesas - Mapa'!P$2,Tabela1[Categoria],'Despesas - Mapa'!O9)</f>
        <v>0</v>
      </c>
      <c r="Q9" s="36"/>
      <c r="R9" s="6" t="str">
        <v>Eletron e Jogos</v>
      </c>
      <c r="S9" s="63">
        <f>SUMIFS(Tabela1[Valor],Tabela1[Mês],'Despesas - Mapa'!S$2,Tabela1[Categoria],'Despesas - Mapa'!R9)</f>
        <v>0</v>
      </c>
      <c r="T9" s="36"/>
      <c r="U9" s="2" t="str">
        <v>Eletron e Jogos</v>
      </c>
      <c r="V9" s="4">
        <f>SUMIFS(Tabela1[Valor],Tabela1[Mês],'Despesas - Mapa'!V$2,Tabela1[Categoria],'Despesas - Mapa'!U9)</f>
        <v>0</v>
      </c>
      <c r="W9" s="36"/>
      <c r="X9" s="6" t="str">
        <v>Eletron e Jogos</v>
      </c>
      <c r="Y9" s="63">
        <f>SUMIFS(Tabela1[Valor],Tabela1[Mês],'Despesas - Mapa'!Y$2,Tabela1[Categoria],'Despesas - Mapa'!X9)</f>
        <v>0</v>
      </c>
      <c r="Z9" s="36"/>
      <c r="AA9" s="2" t="str">
        <v>Eletron e Jogos</v>
      </c>
      <c r="AB9" s="4">
        <f>SUMIFS(Tabela1[Valor],Tabela1[Mês],'Despesas - Mapa'!AB$2,Tabela1[Categoria],'Despesas - Mapa'!AA9)</f>
        <v>0</v>
      </c>
      <c r="AC9" s="36"/>
      <c r="AD9" s="6" t="str">
        <v>Eletron e Jogos</v>
      </c>
      <c r="AE9" s="63">
        <f>SUMIFS(Tabela1[Valor],Tabela1[Mês],'Despesas - Mapa'!AE$2,Tabela1[Categoria],'Despesas - Mapa'!AD9)</f>
        <v>0</v>
      </c>
      <c r="AF9" s="36"/>
      <c r="AG9" s="2" t="str">
        <v>Eletron e Jogos</v>
      </c>
      <c r="AH9" s="4">
        <f>SUMIFS(Tabela1[Valor],Tabela1[Mês],'Despesas - Mapa'!AH$2,Tabela1[Categoria],'Despesas - Mapa'!AG9)</f>
        <v>0</v>
      </c>
      <c r="AI9" s="36"/>
      <c r="AJ9" s="6" t="str">
        <v>Eletron e Jogos</v>
      </c>
      <c r="AK9" s="63">
        <f>SUMIFS(Tabela1[Valor],Tabela1[Mês],'Despesas - Mapa'!AK$2,Tabela1[Categoria],'Despesas - Mapa'!AJ9)</f>
        <v>0</v>
      </c>
    </row>
    <row r="10" spans="1:37" ht="15" customHeight="1" x14ac:dyDescent="0.25">
      <c r="A10" s="101"/>
      <c r="B10" s="42"/>
      <c r="C10" s="3" t="s">
        <v>23</v>
      </c>
      <c r="D10" s="4">
        <f>SUMIFS(Tabela1[Valor],Tabela1[Mês],'Despesas - Mapa'!D$2,Tabela1[Categoria],'Despesas - Mapa'!C10)</f>
        <v>0</v>
      </c>
      <c r="E10" s="36"/>
      <c r="F10" s="6" t="str">
        <v>Cursos</v>
      </c>
      <c r="G10" s="63">
        <f>SUMIFS(Tabela1[Valor],Tabela1[Mês],'Despesas - Mapa'!G$2,Tabela1[Categoria],'Despesas - Mapa'!F10)</f>
        <v>0</v>
      </c>
      <c r="H10" s="36"/>
      <c r="I10" s="2" t="str">
        <v>Cursos</v>
      </c>
      <c r="J10" s="4">
        <f>SUMIFS(Tabela1[Valor],Tabela1[Mês],'Despesas - Mapa'!J$2,Tabela1[Categoria],'Despesas - Mapa'!I10)</f>
        <v>0</v>
      </c>
      <c r="K10" s="36"/>
      <c r="L10" s="6" t="str">
        <v>Cursos</v>
      </c>
      <c r="M10" s="63">
        <f>SUMIFS(Tabela1[Valor],Tabela1[Mês],'Despesas - Mapa'!M$2,Tabela1[Categoria],'Despesas - Mapa'!L10)</f>
        <v>0</v>
      </c>
      <c r="N10" s="36"/>
      <c r="O10" s="2" t="str">
        <v>Cursos</v>
      </c>
      <c r="P10" s="4">
        <f>SUMIFS(Tabela1[Valor],Tabela1[Mês],'Despesas - Mapa'!P$2,Tabela1[Categoria],'Despesas - Mapa'!O10)</f>
        <v>0</v>
      </c>
      <c r="Q10" s="36"/>
      <c r="R10" s="6" t="str">
        <v>Cursos</v>
      </c>
      <c r="S10" s="63">
        <f>SUMIFS(Tabela1[Valor],Tabela1[Mês],'Despesas - Mapa'!S$2,Tabela1[Categoria],'Despesas - Mapa'!R10)</f>
        <v>0</v>
      </c>
      <c r="T10" s="36"/>
      <c r="U10" s="2" t="str">
        <v>Cursos</v>
      </c>
      <c r="V10" s="4">
        <f>SUMIFS(Tabela1[Valor],Tabela1[Mês],'Despesas - Mapa'!V$2,Tabela1[Categoria],'Despesas - Mapa'!U10)</f>
        <v>0</v>
      </c>
      <c r="W10" s="36"/>
      <c r="X10" s="6" t="str">
        <v>Cursos</v>
      </c>
      <c r="Y10" s="63">
        <f>SUMIFS(Tabela1[Valor],Tabela1[Mês],'Despesas - Mapa'!Y$2,Tabela1[Categoria],'Despesas - Mapa'!X10)</f>
        <v>0</v>
      </c>
      <c r="Z10" s="36"/>
      <c r="AA10" s="2" t="str">
        <v>Cursos</v>
      </c>
      <c r="AB10" s="4">
        <f>SUMIFS(Tabela1[Valor],Tabela1[Mês],'Despesas - Mapa'!AB$2,Tabela1[Categoria],'Despesas - Mapa'!AA10)</f>
        <v>0</v>
      </c>
      <c r="AC10" s="36"/>
      <c r="AD10" s="6" t="str">
        <v>Cursos</v>
      </c>
      <c r="AE10" s="63">
        <f>SUMIFS(Tabela1[Valor],Tabela1[Mês],'Despesas - Mapa'!AE$2,Tabela1[Categoria],'Despesas - Mapa'!AD10)</f>
        <v>0</v>
      </c>
      <c r="AF10" s="36"/>
      <c r="AG10" s="2" t="str">
        <v>Cursos</v>
      </c>
      <c r="AH10" s="4">
        <f>SUMIFS(Tabela1[Valor],Tabela1[Mês],'Despesas - Mapa'!AH$2,Tabela1[Categoria],'Despesas - Mapa'!AG10)</f>
        <v>0</v>
      </c>
      <c r="AI10" s="36"/>
      <c r="AJ10" s="6" t="str">
        <v>Cursos</v>
      </c>
      <c r="AK10" s="63">
        <f>SUMIFS(Tabela1[Valor],Tabela1[Mês],'Despesas - Mapa'!AK$2,Tabela1[Categoria],'Despesas - Mapa'!AJ10)</f>
        <v>0</v>
      </c>
    </row>
    <row r="11" spans="1:37" ht="15" customHeight="1" x14ac:dyDescent="0.25">
      <c r="A11" s="101"/>
      <c r="B11" s="42"/>
      <c r="C11" s="3" t="s">
        <v>22</v>
      </c>
      <c r="D11" s="4">
        <f>SUMIFS(Tabela1[Valor],Tabela1[Mês],'Despesas - Mapa'!D$2,Tabela1[Categoria],'Despesas - Mapa'!C11)</f>
        <v>0</v>
      </c>
      <c r="E11" s="36"/>
      <c r="F11" s="6" t="str">
        <v>Farm. e Saúde.</v>
      </c>
      <c r="G11" s="63">
        <f>SUMIFS(Tabela1[Valor],Tabela1[Mês],'Despesas - Mapa'!G$2,Tabela1[Categoria],'Despesas - Mapa'!F11)</f>
        <v>0</v>
      </c>
      <c r="H11" s="36"/>
      <c r="I11" s="2" t="str">
        <v>Farm. e Saúde.</v>
      </c>
      <c r="J11" s="4">
        <f>SUMIFS(Tabela1[Valor],Tabela1[Mês],'Despesas - Mapa'!J$2,Tabela1[Categoria],'Despesas - Mapa'!I11)</f>
        <v>0</v>
      </c>
      <c r="K11" s="36"/>
      <c r="L11" s="6" t="str">
        <v>Farm. e Saúde.</v>
      </c>
      <c r="M11" s="63">
        <f>SUMIFS(Tabela1[Valor],Tabela1[Mês],'Despesas - Mapa'!M$2,Tabela1[Categoria],'Despesas - Mapa'!L11)</f>
        <v>0</v>
      </c>
      <c r="N11" s="36"/>
      <c r="O11" s="2" t="str">
        <v>Farm. e Saúde.</v>
      </c>
      <c r="P11" s="4">
        <f>SUMIFS(Tabela1[Valor],Tabela1[Mês],'Despesas - Mapa'!P$2,Tabela1[Categoria],'Despesas - Mapa'!O11)</f>
        <v>0</v>
      </c>
      <c r="Q11" s="36"/>
      <c r="R11" s="6" t="str">
        <v>Farm. e Saúde.</v>
      </c>
      <c r="S11" s="63">
        <f>SUMIFS(Tabela1[Valor],Tabela1[Mês],'Despesas - Mapa'!S$2,Tabela1[Categoria],'Despesas - Mapa'!R11)</f>
        <v>0</v>
      </c>
      <c r="T11" s="36"/>
      <c r="U11" s="2" t="str">
        <v>Farm. e Saúde.</v>
      </c>
      <c r="V11" s="4">
        <f>SUMIFS(Tabela1[Valor],Tabela1[Mês],'Despesas - Mapa'!V$2,Tabela1[Categoria],'Despesas - Mapa'!U11)</f>
        <v>0</v>
      </c>
      <c r="W11" s="36"/>
      <c r="X11" s="6" t="str">
        <v>Farm. e Saúde.</v>
      </c>
      <c r="Y11" s="63">
        <f>SUMIFS(Tabela1[Valor],Tabela1[Mês],'Despesas - Mapa'!Y$2,Tabela1[Categoria],'Despesas - Mapa'!X11)</f>
        <v>0</v>
      </c>
      <c r="Z11" s="36"/>
      <c r="AA11" s="2" t="str">
        <v>Farm. e Saúde.</v>
      </c>
      <c r="AB11" s="4">
        <f>SUMIFS(Tabela1[Valor],Tabela1[Mês],'Despesas - Mapa'!AB$2,Tabela1[Categoria],'Despesas - Mapa'!AA11)</f>
        <v>0</v>
      </c>
      <c r="AC11" s="36"/>
      <c r="AD11" s="6" t="str">
        <v>Farm. e Saúde.</v>
      </c>
      <c r="AE11" s="63">
        <f>SUMIFS(Tabela1[Valor],Tabela1[Mês],'Despesas - Mapa'!AE$2,Tabela1[Categoria],'Despesas - Mapa'!AD11)</f>
        <v>0</v>
      </c>
      <c r="AF11" s="36"/>
      <c r="AG11" s="2" t="str">
        <v>Farm. e Saúde.</v>
      </c>
      <c r="AH11" s="4">
        <f>SUMIFS(Tabela1[Valor],Tabela1[Mês],'Despesas - Mapa'!AH$2,Tabela1[Categoria],'Despesas - Mapa'!AG11)</f>
        <v>0</v>
      </c>
      <c r="AI11" s="36"/>
      <c r="AJ11" s="6" t="str">
        <v>Farm. e Saúde.</v>
      </c>
      <c r="AK11" s="63">
        <f>SUMIFS(Tabela1[Valor],Tabela1[Mês],'Despesas - Mapa'!AK$2,Tabela1[Categoria],'Despesas - Mapa'!AJ11)</f>
        <v>0</v>
      </c>
    </row>
    <row r="12" spans="1:37" ht="15" customHeight="1" x14ac:dyDescent="0.25">
      <c r="A12" s="101"/>
      <c r="B12" s="42"/>
      <c r="C12" s="3" t="s">
        <v>27</v>
      </c>
      <c r="D12" s="4">
        <f>SUMIFS(Tabela1[Valor],Tabela1[Mês],'Despesas - Mapa'!D$2,Tabela1[Categoria],'Despesas - Mapa'!C12)</f>
        <v>0</v>
      </c>
      <c r="E12" s="36"/>
      <c r="F12" s="6" t="str">
        <v>Entret e Livros</v>
      </c>
      <c r="G12" s="63">
        <f>SUMIFS(Tabela1[Valor],Tabela1[Mês],'Despesas - Mapa'!G$2,Tabela1[Categoria],'Despesas - Mapa'!F12)</f>
        <v>0</v>
      </c>
      <c r="H12" s="36"/>
      <c r="I12" s="2" t="str">
        <v>Entret e Livros</v>
      </c>
      <c r="J12" s="4">
        <f>SUMIFS(Tabela1[Valor],Tabela1[Mês],'Despesas - Mapa'!J$2,Tabela1[Categoria],'Despesas - Mapa'!I12)</f>
        <v>0</v>
      </c>
      <c r="K12" s="36"/>
      <c r="L12" s="6" t="str">
        <v>Entret e Livros</v>
      </c>
      <c r="M12" s="63">
        <f>SUMIFS(Tabela1[Valor],Tabela1[Mês],'Despesas - Mapa'!M$2,Tabela1[Categoria],'Despesas - Mapa'!L12)</f>
        <v>0</v>
      </c>
      <c r="N12" s="36"/>
      <c r="O12" s="2" t="str">
        <v>Entret e Livros</v>
      </c>
      <c r="P12" s="4">
        <f>SUMIFS(Tabela1[Valor],Tabela1[Mês],'Despesas - Mapa'!P$2,Tabela1[Categoria],'Despesas - Mapa'!O12)</f>
        <v>0</v>
      </c>
      <c r="Q12" s="36"/>
      <c r="R12" s="6" t="str">
        <v>Entret e Livros</v>
      </c>
      <c r="S12" s="63">
        <f>SUMIFS(Tabela1[Valor],Tabela1[Mês],'Despesas - Mapa'!S$2,Tabela1[Categoria],'Despesas - Mapa'!R12)</f>
        <v>0</v>
      </c>
      <c r="T12" s="36"/>
      <c r="U12" s="2" t="str">
        <v>Entret e Livros</v>
      </c>
      <c r="V12" s="4">
        <f>SUMIFS(Tabela1[Valor],Tabela1[Mês],'Despesas - Mapa'!V$2,Tabela1[Categoria],'Despesas - Mapa'!U12)</f>
        <v>0</v>
      </c>
      <c r="W12" s="36"/>
      <c r="X12" s="6" t="str">
        <v>Entret e Livros</v>
      </c>
      <c r="Y12" s="63">
        <f>SUMIFS(Tabela1[Valor],Tabela1[Mês],'Despesas - Mapa'!Y$2,Tabela1[Categoria],'Despesas - Mapa'!X12)</f>
        <v>0</v>
      </c>
      <c r="Z12" s="36"/>
      <c r="AA12" s="2" t="str">
        <v>Entret e Livros</v>
      </c>
      <c r="AB12" s="4">
        <f>SUMIFS(Tabela1[Valor],Tabela1[Mês],'Despesas - Mapa'!AB$2,Tabela1[Categoria],'Despesas - Mapa'!AA12)</f>
        <v>0</v>
      </c>
      <c r="AC12" s="36"/>
      <c r="AD12" s="6" t="str">
        <v>Entret e Livros</v>
      </c>
      <c r="AE12" s="63">
        <f>SUMIFS(Tabela1[Valor],Tabela1[Mês],'Despesas - Mapa'!AE$2,Tabela1[Categoria],'Despesas - Mapa'!AD12)</f>
        <v>0</v>
      </c>
      <c r="AF12" s="36"/>
      <c r="AG12" s="2" t="str">
        <v>Entret e Livros</v>
      </c>
      <c r="AH12" s="4">
        <f>SUMIFS(Tabela1[Valor],Tabela1[Mês],'Despesas - Mapa'!AH$2,Tabela1[Categoria],'Despesas - Mapa'!AG12)</f>
        <v>0</v>
      </c>
      <c r="AI12" s="36"/>
      <c r="AJ12" s="6" t="str">
        <v>Entret e Livros</v>
      </c>
      <c r="AK12" s="63">
        <f>SUMIFS(Tabela1[Valor],Tabela1[Mês],'Despesas - Mapa'!AK$2,Tabela1[Categoria],'Despesas - Mapa'!AJ12)</f>
        <v>0</v>
      </c>
    </row>
    <row r="13" spans="1:37" ht="15" customHeight="1" x14ac:dyDescent="0.25">
      <c r="A13" s="101"/>
      <c r="B13" s="42"/>
      <c r="C13" s="3" t="s">
        <v>13</v>
      </c>
      <c r="D13" s="4">
        <f>SUMIFS(Tabela1[Valor],Tabela1[Mês],'Despesas - Mapa'!D$2,Tabela1[Categoria],'Despesas - Mapa'!C13)</f>
        <v>0</v>
      </c>
      <c r="E13" s="36"/>
      <c r="F13" s="6" t="str">
        <v>Rolê</v>
      </c>
      <c r="G13" s="63">
        <f>SUMIFS(Tabela1[Valor],Tabela1[Mês],'Despesas - Mapa'!G$2,Tabela1[Categoria],'Despesas - Mapa'!F13)</f>
        <v>0</v>
      </c>
      <c r="H13" s="36"/>
      <c r="I13" s="2" t="str">
        <v>Rolê</v>
      </c>
      <c r="J13" s="4">
        <f>SUMIFS(Tabela1[Valor],Tabela1[Mês],'Despesas - Mapa'!J$2,Tabela1[Categoria],'Despesas - Mapa'!I13)</f>
        <v>0</v>
      </c>
      <c r="K13" s="36"/>
      <c r="L13" s="6" t="str">
        <v>Rolê</v>
      </c>
      <c r="M13" s="63">
        <f>SUMIFS(Tabela1[Valor],Tabela1[Mês],'Despesas - Mapa'!M$2,Tabela1[Categoria],'Despesas - Mapa'!L13)</f>
        <v>0</v>
      </c>
      <c r="N13" s="36"/>
      <c r="O13" s="2" t="str">
        <v>Rolê</v>
      </c>
      <c r="P13" s="4">
        <f>SUMIFS(Tabela1[Valor],Tabela1[Mês],'Despesas - Mapa'!P$2,Tabela1[Categoria],'Despesas - Mapa'!O13)</f>
        <v>0</v>
      </c>
      <c r="Q13" s="36"/>
      <c r="R13" s="6" t="str">
        <v>Rolê</v>
      </c>
      <c r="S13" s="63">
        <f>SUMIFS(Tabela1[Valor],Tabela1[Mês],'Despesas - Mapa'!S$2,Tabela1[Categoria],'Despesas - Mapa'!R13)</f>
        <v>0</v>
      </c>
      <c r="T13" s="36"/>
      <c r="U13" s="2" t="str">
        <v>Rolê</v>
      </c>
      <c r="V13" s="4">
        <f>SUMIFS(Tabela1[Valor],Tabela1[Mês],'Despesas - Mapa'!V$2,Tabela1[Categoria],'Despesas - Mapa'!U13)</f>
        <v>0</v>
      </c>
      <c r="W13" s="36"/>
      <c r="X13" s="6" t="str">
        <v>Rolê</v>
      </c>
      <c r="Y13" s="63">
        <f>SUMIFS(Tabela1[Valor],Tabela1[Mês],'Despesas - Mapa'!Y$2,Tabela1[Categoria],'Despesas - Mapa'!X13)</f>
        <v>0</v>
      </c>
      <c r="Z13" s="36"/>
      <c r="AA13" s="2" t="str">
        <v>Rolê</v>
      </c>
      <c r="AB13" s="4">
        <f>SUMIFS(Tabela1[Valor],Tabela1[Mês],'Despesas - Mapa'!AB$2,Tabela1[Categoria],'Despesas - Mapa'!AA13)</f>
        <v>0</v>
      </c>
      <c r="AC13" s="36"/>
      <c r="AD13" s="6" t="str">
        <v>Rolê</v>
      </c>
      <c r="AE13" s="63">
        <f>SUMIFS(Tabela1[Valor],Tabela1[Mês],'Despesas - Mapa'!AE$2,Tabela1[Categoria],'Despesas - Mapa'!AD13)</f>
        <v>0</v>
      </c>
      <c r="AF13" s="36"/>
      <c r="AG13" s="2" t="str">
        <v>Rolê</v>
      </c>
      <c r="AH13" s="4">
        <f>SUMIFS(Tabela1[Valor],Tabela1[Mês],'Despesas - Mapa'!AH$2,Tabela1[Categoria],'Despesas - Mapa'!AG13)</f>
        <v>0</v>
      </c>
      <c r="AI13" s="36"/>
      <c r="AJ13" s="6" t="str">
        <v>Rolê</v>
      </c>
      <c r="AK13" s="63">
        <f>SUMIFS(Tabela1[Valor],Tabela1[Mês],'Despesas - Mapa'!AK$2,Tabela1[Categoria],'Despesas - Mapa'!AJ13)</f>
        <v>0</v>
      </c>
    </row>
    <row r="14" spans="1:37" ht="15" customHeight="1" x14ac:dyDescent="0.25">
      <c r="A14" s="101"/>
      <c r="B14" s="42"/>
      <c r="C14" s="3" t="s">
        <v>11</v>
      </c>
      <c r="D14" s="4">
        <f>SUMIFS(Tabela1[Valor],Tabela1[Mês],'Despesas - Mapa'!D$2,Tabela1[Categoria],'Despesas - Mapa'!C14)</f>
        <v>0</v>
      </c>
      <c r="E14" s="36"/>
      <c r="F14" s="6" t="str">
        <v>Roupas</v>
      </c>
      <c r="G14" s="63">
        <f>SUMIFS(Tabela1[Valor],Tabela1[Mês],'Despesas - Mapa'!G$2,Tabela1[Categoria],'Despesas - Mapa'!F14)</f>
        <v>0</v>
      </c>
      <c r="H14" s="36"/>
      <c r="I14" s="2" t="str">
        <v>Roupas</v>
      </c>
      <c r="J14" s="4">
        <f>SUMIFS(Tabela1[Valor],Tabela1[Mês],'Despesas - Mapa'!J$2,Tabela1[Categoria],'Despesas - Mapa'!I14)</f>
        <v>0</v>
      </c>
      <c r="K14" s="36"/>
      <c r="L14" s="6" t="str">
        <v>Roupas</v>
      </c>
      <c r="M14" s="63">
        <f>SUMIFS(Tabela1[Valor],Tabela1[Mês],'Despesas - Mapa'!M$2,Tabela1[Categoria],'Despesas - Mapa'!L14)</f>
        <v>0</v>
      </c>
      <c r="N14" s="36"/>
      <c r="O14" s="2" t="str">
        <v>Roupas</v>
      </c>
      <c r="P14" s="4">
        <f>SUMIFS(Tabela1[Valor],Tabela1[Mês],'Despesas - Mapa'!P$2,Tabela1[Categoria],'Despesas - Mapa'!O14)</f>
        <v>0</v>
      </c>
      <c r="Q14" s="36"/>
      <c r="R14" s="6" t="str">
        <v>Roupas</v>
      </c>
      <c r="S14" s="63">
        <f>SUMIFS(Tabela1[Valor],Tabela1[Mês],'Despesas - Mapa'!S$2,Tabela1[Categoria],'Despesas - Mapa'!R14)</f>
        <v>0</v>
      </c>
      <c r="T14" s="36"/>
      <c r="U14" s="2" t="str">
        <v>Roupas</v>
      </c>
      <c r="V14" s="4">
        <f>SUMIFS(Tabela1[Valor],Tabela1[Mês],'Despesas - Mapa'!V$2,Tabela1[Categoria],'Despesas - Mapa'!U14)</f>
        <v>0</v>
      </c>
      <c r="W14" s="36"/>
      <c r="X14" s="6" t="str">
        <v>Roupas</v>
      </c>
      <c r="Y14" s="63">
        <f>SUMIFS(Tabela1[Valor],Tabela1[Mês],'Despesas - Mapa'!Y$2,Tabela1[Categoria],'Despesas - Mapa'!X14)</f>
        <v>0</v>
      </c>
      <c r="Z14" s="36"/>
      <c r="AA14" s="2" t="str">
        <v>Roupas</v>
      </c>
      <c r="AB14" s="4">
        <f>SUMIFS(Tabela1[Valor],Tabela1[Mês],'Despesas - Mapa'!AB$2,Tabela1[Categoria],'Despesas - Mapa'!AA14)</f>
        <v>0</v>
      </c>
      <c r="AC14" s="36"/>
      <c r="AD14" s="6" t="str">
        <v>Roupas</v>
      </c>
      <c r="AE14" s="63">
        <f>SUMIFS(Tabela1[Valor],Tabela1[Mês],'Despesas - Mapa'!AE$2,Tabela1[Categoria],'Despesas - Mapa'!AD14)</f>
        <v>0</v>
      </c>
      <c r="AF14" s="36"/>
      <c r="AG14" s="2" t="str">
        <v>Roupas</v>
      </c>
      <c r="AH14" s="4">
        <f>SUMIFS(Tabela1[Valor],Tabela1[Mês],'Despesas - Mapa'!AH$2,Tabela1[Categoria],'Despesas - Mapa'!AG14)</f>
        <v>0</v>
      </c>
      <c r="AI14" s="36"/>
      <c r="AJ14" s="6" t="str">
        <v>Roupas</v>
      </c>
      <c r="AK14" s="63">
        <f>SUMIFS(Tabela1[Valor],Tabela1[Mês],'Despesas - Mapa'!AK$2,Tabela1[Categoria],'Despesas - Mapa'!AJ14)</f>
        <v>0</v>
      </c>
    </row>
    <row r="15" spans="1:37" ht="17.3" customHeight="1" x14ac:dyDescent="0.25">
      <c r="A15" s="66"/>
      <c r="B15" s="43"/>
      <c r="C15" s="2" t="s">
        <v>40</v>
      </c>
      <c r="D15" s="4">
        <f>SUMIFS(Tabela1[Valor],Tabela1[Mês],'Despesas - Mapa'!D$2,Tabela1[Categoria],'Despesas - Mapa'!C15)</f>
        <v>0</v>
      </c>
      <c r="E15" s="36"/>
      <c r="F15" s="6" t="str">
        <v>G. Gerais</v>
      </c>
      <c r="G15" s="63">
        <f>SUMIFS(Tabela1[Valor],Tabela1[Mês],'Despesas - Mapa'!G$2,Tabela1[Categoria],'Despesas - Mapa'!F15)</f>
        <v>0</v>
      </c>
      <c r="H15" s="36"/>
      <c r="I15" s="2" t="str">
        <v>G. Gerais</v>
      </c>
      <c r="J15" s="4">
        <f>SUMIFS(Tabela1[Valor],Tabela1[Mês],'Despesas - Mapa'!J$2,Tabela1[Categoria],'Despesas - Mapa'!I15)</f>
        <v>0</v>
      </c>
      <c r="K15" s="36"/>
      <c r="L15" s="6" t="str">
        <v>G. Gerais</v>
      </c>
      <c r="M15" s="63">
        <f>SUMIFS(Tabela1[Valor],Tabela1[Mês],'Despesas - Mapa'!M$2,Tabela1[Categoria],'Despesas - Mapa'!L15)</f>
        <v>0</v>
      </c>
      <c r="N15" s="36"/>
      <c r="O15" s="2" t="str">
        <v>G. Gerais</v>
      </c>
      <c r="P15" s="4">
        <f>SUMIFS(Tabela1[Valor],Tabela1[Mês],'Despesas - Mapa'!P$2,Tabela1[Categoria],'Despesas - Mapa'!O15)</f>
        <v>0</v>
      </c>
      <c r="Q15" s="36"/>
      <c r="R15" s="6" t="str">
        <v>G. Gerais</v>
      </c>
      <c r="S15" s="63">
        <f>SUMIFS(Tabela1[Valor],Tabela1[Mês],'Despesas - Mapa'!S$2,Tabela1[Categoria],'Despesas - Mapa'!R15)</f>
        <v>0</v>
      </c>
      <c r="T15" s="36"/>
      <c r="U15" s="2" t="str">
        <v>G. Gerais</v>
      </c>
      <c r="V15" s="4">
        <f>SUMIFS(Tabela1[Valor],Tabela1[Mês],'Despesas - Mapa'!V$2,Tabela1[Categoria],'Despesas - Mapa'!U15)</f>
        <v>0</v>
      </c>
      <c r="W15" s="36"/>
      <c r="X15" s="6" t="str">
        <v>G. Gerais</v>
      </c>
      <c r="Y15" s="63">
        <f>SUMIFS(Tabela1[Valor],Tabela1[Mês],'Despesas - Mapa'!Y$2,Tabela1[Categoria],'Despesas - Mapa'!X15)</f>
        <v>0</v>
      </c>
      <c r="Z15" s="36"/>
      <c r="AA15" s="2" t="str">
        <v>G. Gerais</v>
      </c>
      <c r="AB15" s="4">
        <f>SUMIFS(Tabela1[Valor],Tabela1[Mês],'Despesas - Mapa'!AB$2,Tabela1[Categoria],'Despesas - Mapa'!AA15)</f>
        <v>0</v>
      </c>
      <c r="AC15" s="36"/>
      <c r="AD15" s="6" t="str">
        <v>G. Gerais</v>
      </c>
      <c r="AE15" s="63">
        <f>SUMIFS(Tabela1[Valor],Tabela1[Mês],'Despesas - Mapa'!AE$2,Tabela1[Categoria],'Despesas - Mapa'!AD15)</f>
        <v>0</v>
      </c>
      <c r="AF15" s="36"/>
      <c r="AG15" s="2" t="str">
        <v>G. Gerais</v>
      </c>
      <c r="AH15" s="4">
        <f>SUMIFS(Tabela1[Valor],Tabela1[Mês],'Despesas - Mapa'!AH$2,Tabela1[Categoria],'Despesas - Mapa'!AG15)</f>
        <v>0</v>
      </c>
      <c r="AI15" s="36"/>
      <c r="AJ15" s="6" t="str">
        <v>G. Gerais</v>
      </c>
      <c r="AK15" s="63">
        <f>SUMIFS(Tabela1[Valor],Tabela1[Mês],'Despesas - Mapa'!AK$2,Tabela1[Categoria],'Despesas - Mapa'!AJ15)</f>
        <v>0</v>
      </c>
    </row>
    <row r="16" spans="1:37" ht="15" customHeight="1" x14ac:dyDescent="0.25">
      <c r="A16" s="59"/>
      <c r="B16" s="43"/>
      <c r="D16" s="36"/>
      <c r="E16" s="36"/>
      <c r="F16" s="60"/>
      <c r="G16" s="61"/>
      <c r="H16" s="36"/>
      <c r="J16" s="36"/>
      <c r="K16" s="36"/>
      <c r="L16" s="60"/>
      <c r="M16" s="61"/>
      <c r="N16" s="36"/>
      <c r="P16" s="36"/>
      <c r="Q16" s="36"/>
      <c r="R16" s="60"/>
      <c r="S16" s="61"/>
      <c r="T16" s="36"/>
      <c r="V16" s="36"/>
      <c r="W16" s="36"/>
      <c r="X16" s="60"/>
      <c r="Y16" s="61"/>
      <c r="Z16" s="36"/>
      <c r="AB16" s="36"/>
      <c r="AC16" s="36"/>
      <c r="AD16" s="60"/>
      <c r="AE16" s="61"/>
      <c r="AF16" s="36"/>
      <c r="AH16" s="58"/>
      <c r="AI16" s="36"/>
      <c r="AJ16" s="60"/>
      <c r="AK16" s="61"/>
    </row>
    <row r="17" spans="1:37" s="36" customFormat="1" ht="18" customHeight="1" x14ac:dyDescent="0.4">
      <c r="A17" s="69" t="s">
        <v>2</v>
      </c>
      <c r="B17" s="44"/>
      <c r="C17" s="102">
        <f>SUM(D7:D15)</f>
        <v>0</v>
      </c>
      <c r="D17" s="102"/>
      <c r="E17" s="45"/>
      <c r="F17" s="103">
        <f>SUM(G7:G15)</f>
        <v>0</v>
      </c>
      <c r="G17" s="103"/>
      <c r="H17" s="45"/>
      <c r="I17" s="102">
        <f>SUM(J7:J15)</f>
        <v>0</v>
      </c>
      <c r="J17" s="102"/>
      <c r="K17" s="45"/>
      <c r="L17" s="103">
        <f>SUM(M7:M15)</f>
        <v>0</v>
      </c>
      <c r="M17" s="103"/>
      <c r="N17" s="45"/>
      <c r="O17" s="102">
        <f>SUM(P7:P15)</f>
        <v>0</v>
      </c>
      <c r="P17" s="102"/>
      <c r="Q17" s="45"/>
      <c r="R17" s="103">
        <f>SUM(S7:S15)</f>
        <v>0</v>
      </c>
      <c r="S17" s="103"/>
      <c r="T17" s="45"/>
      <c r="U17" s="102">
        <f>SUM(V7:V15)</f>
        <v>0</v>
      </c>
      <c r="V17" s="102"/>
      <c r="W17" s="45"/>
      <c r="X17" s="103">
        <f>SUM(Y7:Y15)</f>
        <v>0</v>
      </c>
      <c r="Y17" s="103"/>
      <c r="Z17" s="45"/>
      <c r="AA17" s="102">
        <f>SUM(AB7:AB15)</f>
        <v>0</v>
      </c>
      <c r="AB17" s="102"/>
      <c r="AC17" s="45"/>
      <c r="AD17" s="103">
        <f>SUM(AE7:AE15)</f>
        <v>0</v>
      </c>
      <c r="AE17" s="103"/>
      <c r="AF17" s="45"/>
      <c r="AG17" s="102">
        <f>SUM(AH7:AH15)</f>
        <v>0</v>
      </c>
      <c r="AH17" s="102"/>
      <c r="AI17" s="45"/>
      <c r="AJ17" s="103">
        <f>SUM(AK7:AK15)</f>
        <v>0</v>
      </c>
      <c r="AK17" s="103"/>
    </row>
  </sheetData>
  <sortState xmlns:xlrd2="http://schemas.microsoft.com/office/spreadsheetml/2017/richdata2" ref="D13:D15">
    <sortCondition ref="D13"/>
  </sortState>
  <customSheetViews>
    <customSheetView guid="{12641207-4FA9-4498-AEA1-9BC1962A4F9A}" hiddenRows="1" topLeftCell="A4">
      <pane xSplit="1" topLeftCell="L1" activePane="topRight" state="frozen"/>
      <selection pane="topRight" activeCell="AN12" sqref="AN12"/>
      <pageMargins left="0.511811024" right="0.511811024" top="0.78740157499999996" bottom="0.78740157499999996" header="0.31496062000000002" footer="0.31496062000000002"/>
      <pageSetup paperSize="9" orientation="portrait" horizontalDpi="300" verticalDpi="300" r:id="rId1"/>
    </customSheetView>
  </customSheetViews>
  <mergeCells count="13">
    <mergeCell ref="O17:P17"/>
    <mergeCell ref="AG17:AH17"/>
    <mergeCell ref="AJ17:AK17"/>
    <mergeCell ref="R17:S17"/>
    <mergeCell ref="U17:V17"/>
    <mergeCell ref="X17:Y17"/>
    <mergeCell ref="AA17:AB17"/>
    <mergeCell ref="AD17:AE17"/>
    <mergeCell ref="A6:A14"/>
    <mergeCell ref="C17:D17"/>
    <mergeCell ref="F17:G17"/>
    <mergeCell ref="I17:J17"/>
    <mergeCell ref="L17:M17"/>
  </mergeCells>
  <conditionalFormatting sqref="A4">
    <cfRule type="iconSet" priority="1">
      <iconSet>
        <cfvo type="percent" val="0"/>
        <cfvo type="num" val="200"/>
        <cfvo type="num" val="350"/>
      </iconSet>
    </cfRule>
  </conditionalFormatting>
  <conditionalFormatting sqref="B4:XFD4">
    <cfRule type="iconSet" priority="14">
      <iconSet>
        <cfvo type="percent" val="0"/>
        <cfvo type="num" val="200"/>
        <cfvo type="num" val="35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30F4-3FAE-447F-BF05-82EFBCBD7BD0}">
  <sheetPr codeName="Planilha6">
    <tabColor theme="1"/>
  </sheetPr>
  <dimension ref="A1:P29"/>
  <sheetViews>
    <sheetView zoomScaleNormal="100" workbookViewId="0"/>
  </sheetViews>
  <sheetFormatPr defaultRowHeight="14.3" x14ac:dyDescent="0.25"/>
  <cols>
    <col min="1" max="1" width="15" style="1" customWidth="1"/>
    <col min="2" max="2" width="5.7109375" style="1" customWidth="1"/>
    <col min="3" max="4" width="15" style="1" customWidth="1"/>
    <col min="5" max="5" width="5.7109375" style="1" customWidth="1"/>
    <col min="6" max="6" width="15" style="1" customWidth="1"/>
    <col min="7" max="7" width="5.7109375" style="1" customWidth="1"/>
    <col min="8" max="8" width="15.140625" style="1" customWidth="1"/>
    <col min="9" max="9" width="15" style="1" customWidth="1"/>
    <col min="10" max="10" width="5.7109375" style="1" customWidth="1"/>
    <col min="11" max="12" width="15" style="1" customWidth="1"/>
    <col min="13" max="13" width="5.7109375" style="1" customWidth="1"/>
    <col min="14" max="15" width="15" style="1" customWidth="1"/>
    <col min="16" max="16" width="9.140625" style="1"/>
    <col min="17" max="17" width="0.85546875" style="1" customWidth="1"/>
    <col min="18" max="19" width="9.140625" style="1"/>
    <col min="20" max="20" width="14" style="1" customWidth="1"/>
    <col min="21" max="21" width="5.5703125" style="1" customWidth="1"/>
    <col min="22" max="16384" width="9.140625" style="1"/>
  </cols>
  <sheetData>
    <row r="1" spans="1:16" ht="15" thickBot="1" x14ac:dyDescent="0.3"/>
    <row r="2" spans="1:16" ht="15" x14ac:dyDescent="0.3">
      <c r="A2" s="12" t="s">
        <v>0</v>
      </c>
      <c r="B2" s="13"/>
      <c r="C2" s="21" t="s">
        <v>21</v>
      </c>
      <c r="D2" s="22" t="s">
        <v>3</v>
      </c>
      <c r="E2" s="13"/>
      <c r="F2" s="12" t="s">
        <v>1</v>
      </c>
      <c r="G2" s="13"/>
      <c r="H2" s="19" t="s">
        <v>19</v>
      </c>
      <c r="I2" s="20" t="s">
        <v>56</v>
      </c>
      <c r="J2" s="8"/>
      <c r="K2" s="104" t="s">
        <v>30</v>
      </c>
      <c r="L2" s="105"/>
      <c r="M2" s="90"/>
      <c r="N2" s="104" t="s">
        <v>7</v>
      </c>
      <c r="O2" s="105"/>
      <c r="P2" s="91"/>
    </row>
    <row r="3" spans="1:16" ht="15" x14ac:dyDescent="0.3">
      <c r="A3" s="14" t="str">
        <f>PROPER(TEXT("01/01","MMMM"))</f>
        <v>Janeiro</v>
      </c>
      <c r="B3" s="13"/>
      <c r="C3" s="23">
        <f>'Receitas - Mapa'!B19</f>
        <v>0</v>
      </c>
      <c r="D3" s="24">
        <f>SUM('Receitas - Mapa'!B16:B17)</f>
        <v>0</v>
      </c>
      <c r="E3" s="15"/>
      <c r="F3" s="29">
        <f>SUM('Despesas - Mapa'!C17:C17)</f>
        <v>0</v>
      </c>
      <c r="G3" s="16"/>
      <c r="H3" s="23">
        <f>I3</f>
        <v>0</v>
      </c>
      <c r="I3" s="26">
        <f>'Despesas - Mapa'!D4</f>
        <v>0</v>
      </c>
      <c r="J3" s="8"/>
      <c r="K3" s="93" t="s">
        <v>16</v>
      </c>
      <c r="L3" s="24">
        <f>SUM('Receitas - Mapa'!B4:M6)</f>
        <v>150</v>
      </c>
      <c r="M3" s="15"/>
      <c r="N3" s="95" t="str">
        <f>'Despesas - Mapa'!C7</f>
        <v>Alimentação</v>
      </c>
      <c r="O3" s="96">
        <f>SUM('Despesas - Mapa'!D7,'Despesas - Mapa'!G7,'Despesas - Mapa'!J7,'Despesas - Mapa'!M7,'Despesas - Mapa'!P7,'Despesas - Mapa'!S7,'Despesas - Mapa'!V7,'Despesas - Mapa'!Y7,'Despesas - Mapa'!AB7,'Despesas - Mapa'!AE7,'Despesas - Mapa'!AH7,'Despesas - Mapa'!AK7)</f>
        <v>0</v>
      </c>
      <c r="P3" s="91"/>
    </row>
    <row r="4" spans="1:16" ht="15" x14ac:dyDescent="0.3">
      <c r="A4" s="14" t="str">
        <f>PROPER(TEXT("01/02","MMMM"))</f>
        <v>Fevereiro</v>
      </c>
      <c r="B4" s="13"/>
      <c r="C4" s="23">
        <f>'Receitas - Mapa'!C19</f>
        <v>0</v>
      </c>
      <c r="D4" s="24">
        <f>SUM('Receitas - Mapa'!C16:C17)</f>
        <v>0</v>
      </c>
      <c r="E4" s="15"/>
      <c r="F4" s="29">
        <f>SUM('Despesas - Mapa'!F17:G17)</f>
        <v>0</v>
      </c>
      <c r="G4" s="16"/>
      <c r="H4" s="23">
        <f t="shared" ref="H4:H14" si="0">I4-I3</f>
        <v>0</v>
      </c>
      <c r="I4" s="26">
        <f>'Despesas - Mapa'!G4</f>
        <v>0</v>
      </c>
      <c r="J4" s="8"/>
      <c r="K4" s="93" t="s">
        <v>10</v>
      </c>
      <c r="L4" s="24">
        <f>SUM('Receitas - Mapa'!B9:M12)</f>
        <v>0</v>
      </c>
      <c r="M4" s="15"/>
      <c r="N4" s="95" t="str">
        <f>'Despesas - Mapa'!C8</f>
        <v>G. Resid.</v>
      </c>
      <c r="O4" s="96">
        <f>SUM('Despesas - Mapa'!D8,'Despesas - Mapa'!G8,'Despesas - Mapa'!J8,'Despesas - Mapa'!M8,'Despesas - Mapa'!P8,'Despesas - Mapa'!S8,'Despesas - Mapa'!V8,'Despesas - Mapa'!Y8,'Despesas - Mapa'!AB8,'Despesas - Mapa'!AE8,'Despesas - Mapa'!AH8,'Despesas - Mapa'!AK8)</f>
        <v>0</v>
      </c>
      <c r="P4" s="91"/>
    </row>
    <row r="5" spans="1:16" ht="15" x14ac:dyDescent="0.3">
      <c r="A5" s="14" t="str">
        <f>PROPER(TEXT("01/03","MMMM"))</f>
        <v>Março</v>
      </c>
      <c r="B5" s="13"/>
      <c r="C5" s="23">
        <f>'Receitas - Mapa'!D19</f>
        <v>0</v>
      </c>
      <c r="D5" s="24">
        <f>SUM('Receitas - Mapa'!D16:D17)</f>
        <v>0</v>
      </c>
      <c r="E5" s="15"/>
      <c r="F5" s="29">
        <f>SUM('Despesas - Mapa'!I17:J17)</f>
        <v>0</v>
      </c>
      <c r="G5" s="16"/>
      <c r="H5" s="23">
        <f t="shared" si="0"/>
        <v>0</v>
      </c>
      <c r="I5" s="26">
        <f>'Despesas - Mapa'!J4</f>
        <v>0</v>
      </c>
      <c r="J5" s="8"/>
      <c r="K5" s="93" t="s">
        <v>18</v>
      </c>
      <c r="L5" s="24">
        <f>SUM('Receitas - Mapa'!B4:M6)-SUM('Receitas - Mapa'!B15:M17)-SUM('Receitas - Mapa'!B9:M12)</f>
        <v>100</v>
      </c>
      <c r="M5" s="15"/>
      <c r="N5" s="95" t="str">
        <f>'Despesas - Mapa'!C9</f>
        <v>Eletron e Jogos</v>
      </c>
      <c r="O5" s="96">
        <f>SUM('Despesas - Mapa'!D9,'Despesas - Mapa'!G9,'Despesas - Mapa'!J9,'Despesas - Mapa'!M9,'Despesas - Mapa'!P9,'Despesas - Mapa'!S9,'Despesas - Mapa'!V9,'Despesas - Mapa'!Y9,'Despesas - Mapa'!AB9,'Despesas - Mapa'!AE9,'Despesas - Mapa'!AH9,'Despesas - Mapa'!AK9)</f>
        <v>0</v>
      </c>
      <c r="P5" s="91"/>
    </row>
    <row r="6" spans="1:16" ht="15" x14ac:dyDescent="0.3">
      <c r="A6" s="14" t="str">
        <f>PROPER(TEXT("01/04","MMMM"))</f>
        <v>Abril</v>
      </c>
      <c r="B6" s="13"/>
      <c r="C6" s="23">
        <f>'Receitas - Mapa'!E19</f>
        <v>0</v>
      </c>
      <c r="D6" s="24">
        <f>SUM('Receitas - Mapa'!E16:E17)</f>
        <v>0</v>
      </c>
      <c r="E6" s="15"/>
      <c r="F6" s="29">
        <f>SUM('Despesas - Mapa'!L17:M17)</f>
        <v>0</v>
      </c>
      <c r="G6" s="16"/>
      <c r="H6" s="23">
        <f t="shared" si="0"/>
        <v>0</v>
      </c>
      <c r="I6" s="26">
        <f>'Despesas - Mapa'!M4</f>
        <v>0</v>
      </c>
      <c r="J6" s="8"/>
      <c r="K6" s="93" t="s">
        <v>29</v>
      </c>
      <c r="L6" s="24">
        <f>SUM('Despesas - Mapa'!D7:D14,'Despesas - Mapa'!G7:G14,'Despesas - Mapa'!J7:J14,'Despesas - Mapa'!M7:M14,'Despesas - Mapa'!P7:P14,'Despesas - Mapa'!S7:S14,'Despesas - Mapa'!V7:V14,'Despesas - Mapa'!Y7:Y14,'Despesas - Mapa'!AB7:AB14,'Despesas - Mapa'!AE7:AE14,'Despesas - Mapa'!AH7:AH14,'Despesas - Mapa'!AK7:AK14)</f>
        <v>0</v>
      </c>
      <c r="M6" s="15"/>
      <c r="N6" s="95" t="str">
        <f>'Despesas - Mapa'!C10</f>
        <v>Cursos</v>
      </c>
      <c r="O6" s="96">
        <f>SUM('Despesas - Mapa'!D10,'Despesas - Mapa'!G10,'Despesas - Mapa'!J10,'Despesas - Mapa'!M10,'Despesas - Mapa'!P10,'Despesas - Mapa'!S10,'Despesas - Mapa'!V10,'Despesas - Mapa'!Y10,'Despesas - Mapa'!AB10,'Despesas - Mapa'!AE10,'Despesas - Mapa'!AH10,'Despesas - Mapa'!AK10)</f>
        <v>0</v>
      </c>
      <c r="P6" s="91"/>
    </row>
    <row r="7" spans="1:16" ht="15" x14ac:dyDescent="0.3">
      <c r="A7" s="14" t="str">
        <f>PROPER(TEXT("01/05","MMMM"))</f>
        <v>Maio</v>
      </c>
      <c r="B7" s="13"/>
      <c r="C7" s="23">
        <f>'Receitas - Mapa'!F19</f>
        <v>0</v>
      </c>
      <c r="D7" s="24">
        <f>SUM('Receitas - Mapa'!F16:F17)</f>
        <v>0</v>
      </c>
      <c r="E7" s="15"/>
      <c r="F7" s="29">
        <f>SUM('Despesas - Mapa'!O17:P17)</f>
        <v>0</v>
      </c>
      <c r="G7" s="16"/>
      <c r="H7" s="23">
        <f t="shared" si="0"/>
        <v>0</v>
      </c>
      <c r="I7" s="26">
        <f>'Despesas - Mapa'!P4</f>
        <v>0</v>
      </c>
      <c r="J7" s="8"/>
      <c r="K7" s="93" t="s">
        <v>20</v>
      </c>
      <c r="L7" s="24">
        <f>SUM('Despesas - Mapa'!D15:D15,'Despesas - Mapa'!G15:G15,'Despesas - Mapa'!J15:J15,'Despesas - Mapa'!M15:M15,'Despesas - Mapa'!P15:P15,'Despesas - Mapa'!S15:S15,'Despesas - Mapa'!V15:V15,'Despesas - Mapa'!Y15:Y15,'Despesas - Mapa'!AB15:AB15,'Despesas - Mapa'!AE15:AE15,'Despesas - Mapa'!AH15:AH15,'Despesas - Mapa'!AK15:AK15)</f>
        <v>0</v>
      </c>
      <c r="M7" s="15"/>
      <c r="N7" s="95" t="str">
        <f>'Despesas - Mapa'!C11</f>
        <v>Farm. e Saúde.</v>
      </c>
      <c r="O7" s="96">
        <f>SUM('Despesas - Mapa'!D11,'Despesas - Mapa'!G11,'Despesas - Mapa'!J11,'Despesas - Mapa'!M11,'Despesas - Mapa'!P11,'Despesas - Mapa'!S11,'Despesas - Mapa'!V11,'Despesas - Mapa'!Y11,'Despesas - Mapa'!AB11,'Despesas - Mapa'!AE11,'Despesas - Mapa'!AH11,'Despesas - Mapa'!AK11)</f>
        <v>0</v>
      </c>
      <c r="P7" s="91"/>
    </row>
    <row r="8" spans="1:16" ht="15" x14ac:dyDescent="0.3">
      <c r="A8" s="14" t="str">
        <f>PROPER(TEXT("01/06","MMMM"))</f>
        <v>Junho</v>
      </c>
      <c r="B8" s="13"/>
      <c r="C8" s="23">
        <f>'Receitas - Mapa'!G19</f>
        <v>0</v>
      </c>
      <c r="D8" s="24">
        <f>SUM('Receitas - Mapa'!G16:G17)</f>
        <v>0</v>
      </c>
      <c r="E8" s="15"/>
      <c r="F8" s="29">
        <f>SUM('Despesas - Mapa'!R17:S17)</f>
        <v>0</v>
      </c>
      <c r="G8" s="16"/>
      <c r="H8" s="23">
        <f t="shared" si="0"/>
        <v>0</v>
      </c>
      <c r="I8" s="26">
        <f>'Despesas - Mapa'!S4</f>
        <v>0</v>
      </c>
      <c r="J8" s="8"/>
      <c r="K8" s="93" t="s">
        <v>28</v>
      </c>
      <c r="L8" s="24">
        <f>SUM(L6:L7)</f>
        <v>0</v>
      </c>
      <c r="M8" s="15"/>
      <c r="N8" s="95" t="str">
        <f>'Despesas - Mapa'!C12</f>
        <v>Entret e Livros</v>
      </c>
      <c r="O8" s="96">
        <f>SUM('Despesas - Mapa'!D12,'Despesas - Mapa'!G12,'Despesas - Mapa'!J12,'Despesas - Mapa'!M12,'Despesas - Mapa'!P12,'Despesas - Mapa'!S12,'Despesas - Mapa'!V12,'Despesas - Mapa'!Y12,'Despesas - Mapa'!AB12,'Despesas - Mapa'!AE12,'Despesas - Mapa'!AH12,'Despesas - Mapa'!AK12)</f>
        <v>0</v>
      </c>
      <c r="P8" s="91"/>
    </row>
    <row r="9" spans="1:16" ht="15" x14ac:dyDescent="0.3">
      <c r="A9" s="14" t="str">
        <f>PROPER(TEXT("01/07","MMMM"))</f>
        <v>Julho</v>
      </c>
      <c r="B9" s="13"/>
      <c r="C9" s="23">
        <f>'Receitas - Mapa'!H19</f>
        <v>0</v>
      </c>
      <c r="D9" s="24">
        <f>SUM('Receitas - Mapa'!H16:H17)</f>
        <v>0</v>
      </c>
      <c r="E9" s="15"/>
      <c r="F9" s="29">
        <f>SUM('Despesas - Mapa'!U17:V17)</f>
        <v>0</v>
      </c>
      <c r="G9" s="16"/>
      <c r="H9" s="23">
        <f t="shared" si="0"/>
        <v>0</v>
      </c>
      <c r="I9" s="26">
        <f>'Despesas - Mapa'!V4</f>
        <v>0</v>
      </c>
      <c r="J9" s="8"/>
      <c r="K9" s="93" t="s">
        <v>12</v>
      </c>
      <c r="L9" s="26">
        <f>'Despesas - Mapa'!AK4</f>
        <v>100</v>
      </c>
      <c r="M9" s="16"/>
      <c r="N9" s="95" t="str">
        <f>'Despesas - Mapa'!C13</f>
        <v>Rolê</v>
      </c>
      <c r="O9" s="96">
        <f>SUM('Despesas - Mapa'!D13,'Despesas - Mapa'!G13,'Despesas - Mapa'!J13,'Despesas - Mapa'!M13,'Despesas - Mapa'!P13,'Despesas - Mapa'!S13,'Despesas - Mapa'!V13,'Despesas - Mapa'!Y13,'Despesas - Mapa'!AB13,'Despesas - Mapa'!AE13,'Despesas - Mapa'!AH13,'Despesas - Mapa'!AK13)</f>
        <v>0</v>
      </c>
      <c r="P9" s="91"/>
    </row>
    <row r="10" spans="1:16" ht="15.7" thickBot="1" x14ac:dyDescent="0.35">
      <c r="A10" s="14" t="str">
        <f>PROPER(TEXT("01/08","MMMM"))</f>
        <v>Agosto</v>
      </c>
      <c r="B10" s="13"/>
      <c r="C10" s="23">
        <f>'Receitas - Mapa'!I19</f>
        <v>0</v>
      </c>
      <c r="D10" s="24">
        <f>SUM('Receitas - Mapa'!I16:I17)</f>
        <v>0</v>
      </c>
      <c r="E10" s="15"/>
      <c r="F10" s="29">
        <f>SUM('Despesas - Mapa'!X17:Y17)</f>
        <v>0</v>
      </c>
      <c r="G10" s="16"/>
      <c r="H10" s="23">
        <f t="shared" si="0"/>
        <v>0</v>
      </c>
      <c r="I10" s="26">
        <f>'Despesas - Mapa'!Y4</f>
        <v>0</v>
      </c>
      <c r="J10" s="8"/>
      <c r="K10" s="94" t="s">
        <v>9</v>
      </c>
      <c r="L10" s="28">
        <f>'Gráfico - Anual'!D15</f>
        <v>50</v>
      </c>
      <c r="M10" s="16"/>
      <c r="N10" s="95" t="str">
        <f>'Despesas - Mapa'!C14</f>
        <v>Roupas</v>
      </c>
      <c r="O10" s="96">
        <f>SUM('Despesas - Mapa'!D14,'Despesas - Mapa'!G14,'Despesas - Mapa'!J14,'Despesas - Mapa'!M14,'Despesas - Mapa'!P14,'Despesas - Mapa'!S14,'Despesas - Mapa'!V14,'Despesas - Mapa'!Y14,'Despesas - Mapa'!AB14,'Despesas - Mapa'!AE14,'Despesas - Mapa'!AH14,'Despesas - Mapa'!AK14)</f>
        <v>0</v>
      </c>
      <c r="P10" s="91"/>
    </row>
    <row r="11" spans="1:16" ht="15.7" thickBot="1" x14ac:dyDescent="0.35">
      <c r="A11" s="14" t="str">
        <f>PROPER(TEXT("01/09","MMMM"))</f>
        <v>Setembro</v>
      </c>
      <c r="B11" s="13"/>
      <c r="C11" s="23">
        <f>'Receitas - Mapa'!J19</f>
        <v>0</v>
      </c>
      <c r="D11" s="24">
        <f>SUM('Receitas - Mapa'!J16:J17)</f>
        <v>0</v>
      </c>
      <c r="E11" s="15"/>
      <c r="F11" s="29">
        <f>SUM('Despesas - Mapa'!AA17:AB17)</f>
        <v>0</v>
      </c>
      <c r="G11" s="16"/>
      <c r="H11" s="23">
        <f t="shared" si="0"/>
        <v>0</v>
      </c>
      <c r="I11" s="26">
        <f>'Despesas - Mapa'!AB4</f>
        <v>0</v>
      </c>
      <c r="J11" s="8"/>
      <c r="K11" s="8"/>
      <c r="L11" s="16"/>
      <c r="M11" s="16"/>
      <c r="N11" s="94" t="s">
        <v>2</v>
      </c>
      <c r="O11" s="97">
        <f>SUM(O3:O10)</f>
        <v>0</v>
      </c>
      <c r="P11" s="91"/>
    </row>
    <row r="12" spans="1:16" ht="15.7" customHeight="1" x14ac:dyDescent="0.3">
      <c r="A12" s="14" t="str">
        <f>PROPER(TEXT("01/10","MMMM"))</f>
        <v>Outubro</v>
      </c>
      <c r="B12" s="13"/>
      <c r="C12" s="23">
        <f>'Receitas - Mapa'!K19</f>
        <v>100</v>
      </c>
      <c r="D12" s="24">
        <f>SUM('Receitas - Mapa'!K16:K17)</f>
        <v>50</v>
      </c>
      <c r="E12" s="15"/>
      <c r="F12" s="29">
        <f>SUM('Despesas - Mapa'!AD17:AE17)</f>
        <v>0</v>
      </c>
      <c r="G12" s="16"/>
      <c r="H12" s="23">
        <f t="shared" si="0"/>
        <v>100</v>
      </c>
      <c r="I12" s="26">
        <f>'Despesas - Mapa'!AE4</f>
        <v>100</v>
      </c>
      <c r="J12" s="8"/>
      <c r="K12" s="91"/>
      <c r="L12" s="92"/>
      <c r="M12" s="92"/>
      <c r="N12" s="91"/>
      <c r="O12" s="91"/>
      <c r="P12" s="92"/>
    </row>
    <row r="13" spans="1:16" ht="15" x14ac:dyDescent="0.3">
      <c r="A13" s="14" t="str">
        <f>PROPER(TEXT("01/11","MMMM"))</f>
        <v>Novembro</v>
      </c>
      <c r="B13" s="13"/>
      <c r="C13" s="23">
        <f>'Receitas - Mapa'!L19</f>
        <v>0</v>
      </c>
      <c r="D13" s="24">
        <f>SUM('Receitas - Mapa'!L16:L17)</f>
        <v>0</v>
      </c>
      <c r="E13" s="15"/>
      <c r="F13" s="29">
        <f>SUM('Despesas - Mapa'!AG17:AH17)</f>
        <v>0</v>
      </c>
      <c r="G13" s="16"/>
      <c r="H13" s="23">
        <f t="shared" si="0"/>
        <v>0</v>
      </c>
      <c r="I13" s="26">
        <f>'Despesas - Mapa'!AH4</f>
        <v>100</v>
      </c>
      <c r="J13" s="8"/>
      <c r="K13" s="91"/>
      <c r="L13" s="92"/>
      <c r="M13" s="92"/>
      <c r="N13" s="91"/>
      <c r="O13" s="91"/>
      <c r="P13" s="92"/>
    </row>
    <row r="14" spans="1:16" ht="15" x14ac:dyDescent="0.3">
      <c r="A14" s="14" t="str">
        <f>PROPER(TEXT("01/12","MMMM"))</f>
        <v>Dezembro</v>
      </c>
      <c r="B14" s="13"/>
      <c r="C14" s="23">
        <f>'Receitas - Mapa'!M19</f>
        <v>0</v>
      </c>
      <c r="D14" s="24">
        <f>SUM('Receitas - Mapa'!M16:M17)</f>
        <v>0</v>
      </c>
      <c r="E14" s="15"/>
      <c r="F14" s="29">
        <f>SUM('Despesas - Mapa'!AJ17:AK17)</f>
        <v>0</v>
      </c>
      <c r="G14" s="16"/>
      <c r="H14" s="23">
        <f t="shared" si="0"/>
        <v>0</v>
      </c>
      <c r="I14" s="26">
        <f>'Despesas - Mapa'!AK4</f>
        <v>100</v>
      </c>
      <c r="J14" s="8"/>
      <c r="K14" s="91"/>
      <c r="L14" s="91"/>
      <c r="M14" s="91"/>
      <c r="N14" s="91"/>
      <c r="O14" s="91"/>
      <c r="P14" s="91"/>
    </row>
    <row r="15" spans="1:16" ht="15.7" thickBot="1" x14ac:dyDescent="0.35">
      <c r="A15" s="14" t="s">
        <v>5</v>
      </c>
      <c r="B15" s="13"/>
      <c r="C15" s="25">
        <f>SUM(C3:C14)</f>
        <v>100</v>
      </c>
      <c r="D15" s="24">
        <f>SUM(D3:D14)</f>
        <v>50</v>
      </c>
      <c r="E15" s="15"/>
      <c r="F15" s="29">
        <f>SUM(F3:F14)</f>
        <v>0</v>
      </c>
      <c r="G15" s="16"/>
      <c r="H15" s="33" t="s">
        <v>12</v>
      </c>
      <c r="I15" s="28">
        <f>'Gráfico - Anual'!L9</f>
        <v>100</v>
      </c>
      <c r="J15" s="8"/>
      <c r="K15" s="91"/>
      <c r="L15" s="91"/>
      <c r="M15" s="91"/>
      <c r="N15" s="91"/>
      <c r="O15" s="91"/>
      <c r="P15" s="91"/>
    </row>
    <row r="16" spans="1:16" ht="15" x14ac:dyDescent="0.3">
      <c r="A16" s="14" t="s">
        <v>6</v>
      </c>
      <c r="B16" s="13"/>
      <c r="C16" s="25">
        <f>AVERAGE(C3:C14)</f>
        <v>8.3333333333333339</v>
      </c>
      <c r="D16" s="24">
        <f>AVERAGE(D3:D14)</f>
        <v>4.166666666666667</v>
      </c>
      <c r="E16" s="15"/>
      <c r="F16" s="30">
        <f>AVERAGE(F3:F14)</f>
        <v>0</v>
      </c>
      <c r="G16" s="15"/>
      <c r="H16" s="13"/>
      <c r="I16" s="18"/>
      <c r="J16" s="8"/>
      <c r="K16" s="91"/>
      <c r="L16" s="91"/>
      <c r="M16" s="91"/>
      <c r="N16" s="91"/>
      <c r="O16" s="91"/>
      <c r="P16" s="91"/>
    </row>
    <row r="17" spans="1:16" ht="15" x14ac:dyDescent="0.3">
      <c r="A17" s="14" t="s">
        <v>34</v>
      </c>
      <c r="B17" s="13"/>
      <c r="C17" s="23">
        <f>SUM(C3:C8)</f>
        <v>0</v>
      </c>
      <c r="D17" s="26">
        <f>SUM(D3:D8)</f>
        <v>0</v>
      </c>
      <c r="E17" s="16"/>
      <c r="F17" s="31">
        <f>SUM(F3:F8)</f>
        <v>0</v>
      </c>
      <c r="G17" s="13"/>
      <c r="H17" s="15"/>
      <c r="I17" s="8"/>
      <c r="J17" s="8"/>
      <c r="K17" s="91"/>
      <c r="L17" s="91"/>
      <c r="M17" s="91"/>
      <c r="N17" s="91"/>
      <c r="O17" s="91"/>
      <c r="P17" s="91"/>
    </row>
    <row r="18" spans="1:16" ht="15.7" thickBot="1" x14ac:dyDescent="0.35">
      <c r="A18" s="17" t="s">
        <v>35</v>
      </c>
      <c r="B18" s="13"/>
      <c r="C18" s="27">
        <f>SUM($C$9:$C$14)</f>
        <v>100</v>
      </c>
      <c r="D18" s="28">
        <f>SUM($D$9:$D$14)</f>
        <v>50</v>
      </c>
      <c r="E18" s="16"/>
      <c r="F18" s="32">
        <f>SUM($F$9:$F$14)</f>
        <v>0</v>
      </c>
      <c r="G18" s="13"/>
      <c r="H18" s="13"/>
      <c r="I18" s="8"/>
      <c r="J18" s="8"/>
      <c r="K18" s="91"/>
      <c r="L18" s="91"/>
      <c r="M18" s="91"/>
      <c r="N18" s="91"/>
      <c r="O18" s="91"/>
      <c r="P18" s="91"/>
    </row>
    <row r="19" spans="1:16" ht="15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91"/>
      <c r="L19" s="91"/>
      <c r="M19" s="91"/>
      <c r="N19" s="91"/>
      <c r="O19" s="91"/>
      <c r="P19" s="91"/>
    </row>
    <row r="20" spans="1:16" x14ac:dyDescent="0.25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</row>
    <row r="21" spans="1:16" x14ac:dyDescent="0.25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</row>
    <row r="26" spans="1:16" ht="14.3" customHeight="1" x14ac:dyDescent="0.25"/>
    <row r="27" spans="1:16" ht="8.5500000000000007" customHeight="1" x14ac:dyDescent="0.25"/>
    <row r="28" spans="1:16" ht="17.149999999999999" customHeight="1" x14ac:dyDescent="0.25"/>
    <row r="29" spans="1:16" ht="9.3000000000000007" customHeight="1" x14ac:dyDescent="0.25"/>
  </sheetData>
  <mergeCells count="2">
    <mergeCell ref="K2:L2"/>
    <mergeCell ref="N2:O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8</vt:i4>
      </vt:variant>
    </vt:vector>
  </HeadingPairs>
  <TitlesOfParts>
    <vt:vector size="12" baseType="lpstr">
      <vt:lpstr>Saldo &amp; Mov.</vt:lpstr>
      <vt:lpstr>Receitas - Mapa</vt:lpstr>
      <vt:lpstr>Despesas - Mapa</vt:lpstr>
      <vt:lpstr>Gráfico - Anual</vt:lpstr>
      <vt:lpstr>Ativos</vt:lpstr>
      <vt:lpstr>Categorias</vt:lpstr>
      <vt:lpstr>Dash</vt:lpstr>
      <vt:lpstr>Despesas</vt:lpstr>
      <vt:lpstr>Investimentos</vt:lpstr>
      <vt:lpstr>Perdas</vt:lpstr>
      <vt:lpstr>Receitas</vt:lpstr>
      <vt:lpstr>Transferir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Robison</dc:creator>
  <cp:lastModifiedBy>Robison Torres</cp:lastModifiedBy>
  <cp:lastPrinted>2023-10-12T20:05:55Z</cp:lastPrinted>
  <dcterms:created xsi:type="dcterms:W3CDTF">2011-04-06T00:31:18Z</dcterms:created>
  <dcterms:modified xsi:type="dcterms:W3CDTF">2023-11-01T19:14:52Z</dcterms:modified>
</cp:coreProperties>
</file>